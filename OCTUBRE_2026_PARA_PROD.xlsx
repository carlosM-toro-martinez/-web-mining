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UADRO GENERAL" sheetId="1" state="visible" r:id="rId1"/>
  </sheets>
  <definedNames>
    <definedName name="_xlnm.Print_Area" localSheetId="0">'CUADRO GENERAL'!$A$1:$K$250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1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12"/>
      <u val="double"/>
    </font>
    <font>
      <name val="Calibri"/>
      <family val="2"/>
      <color theme="1"/>
      <sz val="11"/>
      <u val="double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Arial Black"/>
      <family val="2"/>
      <b val="1"/>
      <color theme="1"/>
      <sz val="12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2060"/>
      <sz val="12"/>
      <scheme val="minor"/>
    </font>
    <font>
      <name val="Calibri"/>
      <family val="2"/>
      <sz val="11"/>
      <scheme val="minor"/>
    </font>
    <font>
      <name val="Arial"/>
      <family val="2"/>
      <color theme="1"/>
      <sz val="10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Calibri"/>
      <family val="2"/>
      <sz val="12"/>
      <scheme val="minor"/>
    </font>
    <font>
      <name val="Arial"/>
      <family val="2"/>
      <b val="1"/>
      <color theme="1"/>
      <sz val="11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0" fillId="2" borderId="0" applyAlignment="1" pivotButton="0" quotePrefix="0" xfId="0">
      <alignment horizontal="center"/>
    </xf>
    <xf numFmtId="17" fontId="4" fillId="2" borderId="0" applyAlignment="1" pivotButton="0" quotePrefix="0" xfId="0">
      <alignment horizontal="left" vertical="top"/>
    </xf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9" fillId="2" borderId="0" pivotButton="0" quotePrefix="0" xfId="0"/>
    <xf numFmtId="0" fontId="10" fillId="3" borderId="3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2" borderId="3" pivotButton="0" quotePrefix="0" xfId="0"/>
    <xf numFmtId="164" fontId="0" fillId="2" borderId="3" pivotButton="0" quotePrefix="0" xfId="0"/>
    <xf numFmtId="164" fontId="0" fillId="0" borderId="3" pivotButton="0" quotePrefix="0" xfId="0"/>
    <xf numFmtId="0" fontId="15" fillId="2" borderId="0" applyAlignment="1" pivotButton="0" quotePrefix="0" xfId="0">
      <alignment horizontal="left"/>
    </xf>
    <xf numFmtId="2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12" fillId="2" borderId="0" pivotButton="0" quotePrefix="0" xfId="0"/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 vertical="center" wrapText="1"/>
    </xf>
    <xf numFmtId="164" fontId="0" fillId="0" borderId="0" pivotButton="0" quotePrefix="0" xfId="0"/>
    <xf numFmtId="164" fontId="7" fillId="2" borderId="0" pivotButton="0" quotePrefix="0" xfId="0"/>
    <xf numFmtId="164" fontId="0" fillId="2" borderId="0" pivotButton="0" quotePrefix="0" xfId="0"/>
    <xf numFmtId="0" fontId="0" fillId="4" borderId="3" applyAlignment="1" pivotButton="0" quotePrefix="0" xfId="0">
      <alignment vertical="center"/>
    </xf>
    <xf numFmtId="164" fontId="0" fillId="4" borderId="3" applyAlignment="1" pivotButton="0" quotePrefix="0" xfId="0">
      <alignment vertical="center"/>
    </xf>
    <xf numFmtId="14" fontId="12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164" fontId="0" fillId="4" borderId="5" applyAlignment="1" pivotButton="0" quotePrefix="0" xfId="0">
      <alignment horizontal="center"/>
    </xf>
    <xf numFmtId="0" fontId="14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/>
    </xf>
    <xf numFmtId="0" fontId="1" fillId="2" borderId="5" applyAlignment="1" pivotButton="0" quotePrefix="0" xfId="0">
      <alignment horizontal="center" vertical="center"/>
    </xf>
    <xf numFmtId="0" fontId="11" fillId="3" borderId="3" applyAlignment="1" pivotButton="0" quotePrefix="0" xfId="0">
      <alignment vertical="center"/>
    </xf>
    <xf numFmtId="0" fontId="10" fillId="3" borderId="3" applyAlignment="1" pivotButton="0" quotePrefix="0" xfId="0">
      <alignment horizontal="left" vertical="center"/>
    </xf>
    <xf numFmtId="49" fontId="9" fillId="2" borderId="0" pivotButton="0" quotePrefix="0" xfId="0"/>
    <xf numFmtId="0" fontId="1" fillId="5" borderId="3" applyAlignment="1" pivotButton="0" quotePrefix="0" xfId="0">
      <alignment vertical="center"/>
    </xf>
    <xf numFmtId="0" fontId="1" fillId="6" borderId="3" applyAlignment="1" pivotButton="0" quotePrefix="0" xfId="0">
      <alignment horizontal="center" vertical="center"/>
    </xf>
    <xf numFmtId="2" fontId="0" fillId="2" borderId="3" pivotButton="0" quotePrefix="0" xfId="0"/>
    <xf numFmtId="164" fontId="0" fillId="8" borderId="3" pivotButton="0" quotePrefix="0" xfId="0"/>
    <xf numFmtId="0" fontId="0" fillId="8" borderId="3" pivotButton="0" quotePrefix="0" xfId="0"/>
    <xf numFmtId="164" fontId="0" fillId="9" borderId="3" applyAlignment="1" pivotButton="0" quotePrefix="0" xfId="0">
      <alignment horizontal="center"/>
    </xf>
    <xf numFmtId="164" fontId="0" fillId="9" borderId="4" pivotButton="0" quotePrefix="0" xfId="0"/>
    <xf numFmtId="164" fontId="0" fillId="9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14" fontId="0" fillId="0" borderId="0" pivotButton="0" quotePrefix="0" xfId="0"/>
    <xf numFmtId="0" fontId="0" fillId="4" borderId="3" applyAlignment="1" pivotButton="0" quotePrefix="0" xfId="0">
      <alignment horizontal="center"/>
    </xf>
    <xf numFmtId="164" fontId="0" fillId="10" borderId="3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164" fontId="0" fillId="10" borderId="9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1" fillId="11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left"/>
    </xf>
    <xf numFmtId="0" fontId="3" fillId="2" borderId="3" applyAlignment="1" pivotButton="0" quotePrefix="0" xfId="0">
      <alignment horizontal="left" vertical="center" wrapText="1"/>
    </xf>
    <xf numFmtId="0" fontId="18" fillId="2" borderId="3" applyAlignment="1" pivotButton="0" quotePrefix="0" xfId="0">
      <alignment horizontal="left"/>
    </xf>
    <xf numFmtId="0" fontId="3" fillId="2" borderId="10" applyAlignment="1" pivotButton="0" quotePrefix="0" xfId="0">
      <alignment horizontal="left"/>
    </xf>
    <xf numFmtId="0" fontId="15" fillId="2" borderId="10" applyAlignment="1" pivotButton="0" quotePrefix="0" xfId="0">
      <alignment horizontal="left"/>
    </xf>
    <xf numFmtId="14" fontId="12" fillId="0" borderId="3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0" fontId="13" fillId="0" borderId="3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/>
    </xf>
    <xf numFmtId="0" fontId="12" fillId="0" borderId="3" pivotButton="0" quotePrefix="0" xfId="0"/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164" fontId="0" fillId="0" borderId="3" pivotButton="0" quotePrefix="0" xfId="0"/>
    <xf numFmtId="164" fontId="14" fillId="0" borderId="3" pivotButton="0" quotePrefix="0" xfId="0"/>
    <xf numFmtId="0" fontId="17" fillId="0" borderId="3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left" vertical="center" wrapText="1"/>
    </xf>
    <xf numFmtId="0" fontId="18" fillId="0" borderId="3" applyAlignment="1" pivotButton="0" quotePrefix="0" xfId="0">
      <alignment horizontal="left"/>
    </xf>
    <xf numFmtId="0" fontId="19" fillId="0" borderId="3" applyAlignment="1" pivotButton="0" quotePrefix="0" xfId="0">
      <alignment horizontal="left"/>
    </xf>
    <xf numFmtId="0" fontId="0" fillId="0" borderId="3" pivotButton="0" quotePrefix="0" xfId="0"/>
    <xf numFmtId="0" fontId="14" fillId="0" borderId="3" pivotButton="0" quotePrefix="0" xfId="0"/>
    <xf numFmtId="164" fontId="12" fillId="0" borderId="4" applyAlignment="1" pivotButton="0" quotePrefix="0" xfId="0">
      <alignment horizontal="center"/>
    </xf>
    <xf numFmtId="14" fontId="11" fillId="0" borderId="3" applyAlignment="1" pivotButton="0" quotePrefix="0" xfId="0">
      <alignment horizontal="center"/>
    </xf>
    <xf numFmtId="0" fontId="15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/>
    </xf>
    <xf numFmtId="0" fontId="15" fillId="0" borderId="3" applyAlignment="1" pivotButton="0" quotePrefix="0" xfId="0">
      <alignment horizontal="left"/>
    </xf>
    <xf numFmtId="0" fontId="18" fillId="0" borderId="3" pivotButton="0" quotePrefix="0" xfId="0"/>
    <xf numFmtId="0" fontId="17" fillId="0" borderId="3" applyAlignment="1" pivotButton="0" quotePrefix="0" xfId="0">
      <alignment horizontal="left"/>
    </xf>
    <xf numFmtId="0" fontId="17" fillId="2" borderId="3" applyAlignment="1" pivotButton="0" quotePrefix="0" xfId="0">
      <alignment horizontal="left" vertical="center" wrapText="1"/>
    </xf>
    <xf numFmtId="0" fontId="18" fillId="2" borderId="7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14" fillId="0" borderId="3" applyAlignment="1" pivotButton="0" quotePrefix="0" xfId="0">
      <alignment horizontal="left"/>
    </xf>
    <xf numFmtId="14" fontId="11" fillId="7" borderId="3" applyAlignment="1" pivotButton="0" quotePrefix="0" xfId="0">
      <alignment horizontal="center"/>
    </xf>
    <xf numFmtId="49" fontId="0" fillId="7" borderId="3" applyAlignment="1" pivotButton="0" quotePrefix="0" xfId="0">
      <alignment horizontal="center"/>
    </xf>
    <xf numFmtId="0" fontId="13" fillId="7" borderId="3" applyAlignment="1" pivotButton="0" quotePrefix="0" xfId="0">
      <alignment horizontal="center" vertical="center" wrapText="1"/>
    </xf>
    <xf numFmtId="164" fontId="0" fillId="7" borderId="3" applyAlignment="1" pivotButton="0" quotePrefix="0" xfId="0">
      <alignment horizontal="center"/>
    </xf>
    <xf numFmtId="0" fontId="12" fillId="7" borderId="3" pivotButton="0" quotePrefix="0" xfId="0"/>
    <xf numFmtId="0" fontId="12" fillId="7" borderId="3" applyAlignment="1" pivotButton="0" quotePrefix="0" xfId="0">
      <alignment horizontal="center"/>
    </xf>
    <xf numFmtId="164" fontId="12" fillId="7" borderId="4" applyAlignment="1" pivotButton="0" quotePrefix="0" xfId="0">
      <alignment horizontal="center"/>
    </xf>
    <xf numFmtId="164" fontId="0" fillId="7" borderId="3" pivotButton="0" quotePrefix="0" xfId="0"/>
    <xf numFmtId="164" fontId="14" fillId="7" borderId="3" pivotButton="0" quotePrefix="0" xfId="0"/>
    <xf numFmtId="0" fontId="15" fillId="7" borderId="3" applyAlignment="1" pivotButton="0" quotePrefix="0" xfId="0">
      <alignment horizontal="left" vertical="center" wrapText="1"/>
    </xf>
    <xf numFmtId="0" fontId="3" fillId="7" borderId="3" applyAlignment="1" pivotButton="0" quotePrefix="0" xfId="0">
      <alignment horizontal="left" vertical="center" wrapText="1"/>
    </xf>
    <xf numFmtId="0" fontId="15" fillId="2" borderId="3" applyAlignment="1" pivotButton="0" quotePrefix="0" xfId="0">
      <alignment horizontal="left" vertical="center" wrapText="1"/>
    </xf>
    <xf numFmtId="164" fontId="0" fillId="0" borderId="3" applyAlignment="1" pivotButton="0" quotePrefix="0" xfId="0">
      <alignment horizontal="center"/>
    </xf>
    <xf numFmtId="164" fontId="0" fillId="12" borderId="3" applyAlignment="1" pivotButton="0" quotePrefix="0" xfId="0">
      <alignment horizontal="center"/>
    </xf>
    <xf numFmtId="164" fontId="0" fillId="13" borderId="3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164" fontId="0" fillId="4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64" fontId="0" fillId="2" borderId="3" applyAlignment="1" pivotButton="0" quotePrefix="0" xfId="0">
      <alignment horizontal="right"/>
    </xf>
    <xf numFmtId="14" fontId="12" fillId="0" borderId="3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0" fontId="13" fillId="0" borderId="3" applyAlignment="1" pivotButton="0" quotePrefix="0" xfId="0">
      <alignment horizontal="center" vertical="center" wrapText="1"/>
    </xf>
    <xf numFmtId="0" fontId="12" fillId="0" borderId="3" pivotButton="0" quotePrefix="0" xfId="0"/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164" fontId="14" fillId="0" borderId="3" pivotButton="0" quotePrefix="0" xfId="0"/>
    <xf numFmtId="0" fontId="18" fillId="0" borderId="3" pivotButton="0" quotePrefix="0" xfId="0"/>
    <xf numFmtId="0" fontId="18" fillId="0" borderId="3" applyAlignment="1" pivotButton="0" quotePrefix="0" xfId="0">
      <alignment horizontal="left"/>
    </xf>
    <xf numFmtId="0" fontId="17" fillId="0" borderId="3" applyAlignment="1" pivotButton="0" quotePrefix="0" xfId="0">
      <alignment horizontal="left"/>
    </xf>
    <xf numFmtId="0" fontId="0" fillId="0" borderId="2" pivotButton="0" quotePrefix="0" xfId="0"/>
    <xf numFmtId="0" fontId="0" fillId="0" borderId="1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3"/>
  <sheetViews>
    <sheetView tabSelected="1" zoomScale="80" zoomScaleNormal="80" zoomScaleSheetLayoutView="50" workbookViewId="0">
      <pane ySplit="6" topLeftCell="A151" activePane="bottomLeft" state="frozen"/>
      <selection activeCell="B1" sqref="B1"/>
      <selection pane="bottomLeft" activeCell="G157" sqref="G157:G167"/>
    </sheetView>
  </sheetViews>
  <sheetFormatPr baseColWidth="10" defaultRowHeight="15"/>
  <cols>
    <col width="5.85546875" customWidth="1" min="1" max="1"/>
    <col width="11.28515625" customWidth="1" min="2" max="2"/>
    <col width="10.7109375" customWidth="1" min="3" max="3"/>
    <col width="9.7109375" customWidth="1" min="4" max="4"/>
    <col width="13.85546875" customWidth="1" min="5" max="5"/>
    <col width="11.85546875" customWidth="1" min="6" max="6"/>
    <col width="9.85546875" customWidth="1" min="7" max="7"/>
    <col width="10.28515625" customWidth="1" min="8" max="8"/>
    <col width="9.28515625" customWidth="1" min="9" max="9"/>
    <col width="10" customWidth="1" min="10" max="10"/>
    <col width="9.28515625" customWidth="1" min="11" max="11"/>
    <col width="27" customWidth="1" min="12" max="12"/>
    <col width="21.85546875" customWidth="1" min="13" max="13"/>
    <col width="11.42578125" customWidth="1" min="14" max="20"/>
  </cols>
  <sheetData>
    <row r="1" ht="2.25" customHeight="1">
      <c r="A1" s="1" t="n"/>
      <c r="B1" s="2" t="inlineStr">
        <is>
          <t xml:space="preserve">Empresa Minera </t>
        </is>
      </c>
      <c r="C1" s="3" t="n"/>
      <c r="D1" s="3" t="n"/>
      <c r="E1" s="1" t="n"/>
      <c r="F1" s="1" t="n"/>
      <c r="G1" s="1" t="n"/>
      <c r="H1" s="4" t="n"/>
      <c r="I1" s="5" t="n"/>
      <c r="J1" s="1" t="n"/>
      <c r="K1" s="1" t="n"/>
      <c r="L1" s="1" t="n"/>
      <c r="M1" s="1" t="n"/>
    </row>
    <row r="2" hidden="1" ht="15.75" customHeight="1">
      <c r="A2" s="1" t="n"/>
      <c r="B2" s="6" t="inlineStr">
        <is>
          <t>MARTE S.R.L</t>
        </is>
      </c>
      <c r="C2" s="3" t="n"/>
      <c r="D2" s="3" t="n"/>
      <c r="E2" s="7" t="n"/>
      <c r="F2" s="7" t="n"/>
      <c r="G2" s="7" t="n"/>
      <c r="H2" s="4" t="n"/>
      <c r="I2" s="1" t="n"/>
      <c r="J2" s="1" t="n"/>
      <c r="K2" s="1" t="n"/>
      <c r="L2" s="1" t="n"/>
      <c r="M2" s="1" t="n"/>
      <c r="O2" s="22" t="n"/>
    </row>
    <row r="3" ht="18.75" customHeight="1">
      <c r="A3" s="1" t="n"/>
      <c r="B3" s="8" t="inlineStr">
        <is>
          <t>CUADRO DE ENVIO DE CARGA CHAMI</t>
        </is>
      </c>
      <c r="C3" s="8" t="n"/>
      <c r="D3" s="8" t="n"/>
      <c r="E3" s="8" t="n"/>
      <c r="F3" s="8" t="n"/>
      <c r="G3" s="8" t="n"/>
      <c r="H3" s="4" t="n"/>
      <c r="I3" s="8" t="n"/>
      <c r="J3" s="8" t="n"/>
      <c r="K3" s="8" t="n"/>
      <c r="L3" s="8" t="n"/>
      <c r="M3" s="8" t="n"/>
    </row>
    <row r="4" ht="15.75" customHeight="1">
      <c r="A4" s="1" t="n"/>
      <c r="B4" s="8" t="inlineStr">
        <is>
          <t xml:space="preserve"> DE MINA LIPEÑA A CHILCOBIJA</t>
        </is>
      </c>
      <c r="C4" s="8" t="n"/>
      <c r="D4" s="8" t="n"/>
      <c r="E4" s="8" t="n"/>
      <c r="F4" s="8" t="n"/>
      <c r="G4" s="8" t="n"/>
      <c r="H4" s="4" t="n"/>
      <c r="I4" s="8" t="n"/>
      <c r="J4" s="8" t="n"/>
      <c r="K4" s="8" t="n"/>
      <c r="L4" s="8" t="n"/>
      <c r="M4" s="8" t="n"/>
      <c r="O4" s="1" t="n"/>
      <c r="S4" s="106" t="inlineStr">
        <is>
          <t>EMPRESA</t>
        </is>
      </c>
      <c r="U4" s="107" t="inlineStr">
        <is>
          <t xml:space="preserve">EMUSA </t>
        </is>
      </c>
    </row>
    <row r="5" ht="19.5" customHeight="1">
      <c r="A5" s="1" t="n"/>
      <c r="B5" s="8" t="n"/>
      <c r="C5" s="8" t="n"/>
      <c r="D5" s="8" t="n"/>
      <c r="E5" s="9" t="inlineStr">
        <is>
          <t xml:space="preserve">Mes: </t>
        </is>
      </c>
      <c r="F5" s="39" t="inlineStr">
        <is>
          <t>OCTUBRE 2026</t>
        </is>
      </c>
      <c r="G5" s="39" t="n"/>
      <c r="H5" s="4" t="n"/>
      <c r="I5" s="39" t="n"/>
      <c r="J5" s="8" t="n"/>
      <c r="K5" s="8" t="n"/>
      <c r="L5" s="8" t="n"/>
      <c r="M5" s="8" t="n"/>
      <c r="O5" s="1" t="n"/>
      <c r="S5" s="109" t="inlineStr">
        <is>
          <t>PUNTUALIDAD</t>
        </is>
      </c>
      <c r="T5" s="126" t="n"/>
      <c r="U5" s="127" t="n"/>
    </row>
    <row r="6" ht="24" customHeight="1">
      <c r="A6" s="10" t="inlineStr">
        <is>
          <t>Nº</t>
        </is>
      </c>
      <c r="B6" s="10" t="inlineStr">
        <is>
          <t>FECHA</t>
        </is>
      </c>
      <c r="C6" s="11" t="inlineStr">
        <is>
          <t>CONOCIMIENTO</t>
        </is>
      </c>
      <c r="D6" s="11" t="inlineStr">
        <is>
          <t>Form. 101</t>
        </is>
      </c>
      <c r="E6" s="11" t="inlineStr">
        <is>
          <t>PESO Kg</t>
        </is>
      </c>
      <c r="F6" s="11" t="inlineStr">
        <is>
          <t>MUNICIPIO</t>
        </is>
      </c>
      <c r="G6" s="11" t="inlineStr">
        <is>
          <t>MUNICIPIO Nº</t>
        </is>
      </c>
      <c r="H6" s="10" t="inlineStr">
        <is>
          <t>NIVEL 40</t>
        </is>
      </c>
      <c r="I6" s="11" t="inlineStr">
        <is>
          <t>Nivel 0</t>
        </is>
      </c>
      <c r="J6" s="11" t="inlineStr">
        <is>
          <t>Nivel 80</t>
        </is>
      </c>
      <c r="K6" s="11" t="inlineStr">
        <is>
          <t>La Moza</t>
        </is>
      </c>
      <c r="L6" s="11" t="inlineStr">
        <is>
          <t>PROPIETARIO</t>
        </is>
      </c>
      <c r="M6" s="11" t="inlineStr">
        <is>
          <t>CHOFER</t>
        </is>
      </c>
      <c r="N6" s="37" t="inlineStr">
        <is>
          <t>PLACA</t>
        </is>
      </c>
      <c r="O6" s="38" t="inlineStr">
        <is>
          <t>Lote</t>
        </is>
      </c>
      <c r="P6" s="48" t="inlineStr">
        <is>
          <t>COMBUSTIBLE</t>
        </is>
      </c>
      <c r="Q6" s="48" t="n"/>
      <c r="R6" s="48" t="n"/>
      <c r="S6" s="40" t="inlineStr">
        <is>
          <t>3120 - IZR</t>
        </is>
      </c>
      <c r="T6" s="40" t="inlineStr">
        <is>
          <t>3120 - KBX</t>
        </is>
      </c>
      <c r="U6" s="41" t="inlineStr">
        <is>
          <t>6422 - LZD</t>
        </is>
      </c>
      <c r="V6" s="41" t="inlineStr">
        <is>
          <t>6480- DBB</t>
        </is>
      </c>
      <c r="W6" s="41" t="inlineStr">
        <is>
          <t>6480 - DDH</t>
        </is>
      </c>
      <c r="X6" s="41" t="inlineStr">
        <is>
          <t>6657 - DZH</t>
        </is>
      </c>
      <c r="Y6" s="41" t="inlineStr">
        <is>
          <t>6657 -DYE</t>
        </is>
      </c>
    </row>
    <row r="7" ht="15.75" customHeight="1">
      <c r="A7" s="56" t="n">
        <v>1</v>
      </c>
      <c r="B7" s="116" t="n">
        <v>46296</v>
      </c>
      <c r="C7" s="117" t="inlineStr">
        <is>
          <t>01/10</t>
        </is>
      </c>
      <c r="D7" s="118" t="n">
        <v>218956</v>
      </c>
      <c r="E7" s="94" t="n">
        <v>26.399</v>
      </c>
      <c r="F7" s="119" t="inlineStr">
        <is>
          <t>MOJINETE</t>
        </is>
      </c>
      <c r="G7" s="120" t="n">
        <v>51028</v>
      </c>
      <c r="H7" s="121" t="n"/>
      <c r="I7" s="69" t="n">
        <v>26.399</v>
      </c>
      <c r="J7" s="103" t="n"/>
      <c r="K7" s="122" t="n"/>
      <c r="L7" s="122" t="inlineStr">
        <is>
          <t>EMUSA</t>
        </is>
      </c>
      <c r="M7" s="71" t="inlineStr">
        <is>
          <t>JUAN NINA</t>
        </is>
      </c>
      <c r="N7" s="72" t="inlineStr">
        <is>
          <t>6657 DZH</t>
        </is>
      </c>
      <c r="O7" s="73" t="n">
        <v>4666</v>
      </c>
      <c r="Q7" s="51" t="n"/>
      <c r="R7" s="22" t="n"/>
      <c r="S7" s="45" t="n"/>
      <c r="T7" s="46" t="n"/>
      <c r="U7" s="44" t="n"/>
      <c r="V7" s="43" t="n"/>
      <c r="W7" s="44" t="n"/>
      <c r="X7" s="43">
        <f>+E7</f>
        <v/>
      </c>
      <c r="Y7" s="44" t="n"/>
    </row>
    <row r="8" ht="15.75" customHeight="1">
      <c r="A8" s="56" t="n">
        <v>2</v>
      </c>
      <c r="B8" s="116" t="n">
        <v>46296</v>
      </c>
      <c r="C8" s="117" t="inlineStr">
        <is>
          <t>02/10</t>
        </is>
      </c>
      <c r="D8" s="118" t="n">
        <v>218957</v>
      </c>
      <c r="E8" s="94" t="n">
        <v>26.581</v>
      </c>
      <c r="F8" s="119" t="inlineStr">
        <is>
          <t>MOJINETE</t>
        </is>
      </c>
      <c r="G8" s="120" t="n">
        <v>51028</v>
      </c>
      <c r="H8" s="121" t="n"/>
      <c r="I8" s="69" t="n">
        <v>26.581</v>
      </c>
      <c r="J8" s="103" t="n"/>
      <c r="K8" s="122" t="n"/>
      <c r="L8" t="inlineStr">
        <is>
          <t>EMUSA</t>
        </is>
      </c>
      <c r="M8" s="71" t="inlineStr">
        <is>
          <t>EDWIN TAPIA</t>
        </is>
      </c>
      <c r="N8" s="72" t="inlineStr">
        <is>
          <t>6657 DYE</t>
        </is>
      </c>
      <c r="O8" s="73">
        <f>+O7+1</f>
        <v/>
      </c>
      <c r="Q8" s="52" t="n"/>
      <c r="R8" s="22" t="n"/>
      <c r="S8" s="45" t="n"/>
      <c r="T8" s="47" t="n"/>
      <c r="U8" s="44" t="n"/>
      <c r="V8" s="44" t="n"/>
      <c r="W8" s="43" t="n"/>
      <c r="X8" s="44" t="n"/>
      <c r="Y8" s="43">
        <f>+E8</f>
        <v/>
      </c>
    </row>
    <row r="9" ht="15.75" customHeight="1">
      <c r="A9" s="56" t="n">
        <v>3</v>
      </c>
      <c r="B9" s="116" t="n">
        <v>46296</v>
      </c>
      <c r="C9" s="117" t="inlineStr">
        <is>
          <t>03/10</t>
        </is>
      </c>
      <c r="D9" s="118" t="n">
        <v>218958</v>
      </c>
      <c r="E9" s="94" t="n">
        <v>22.068</v>
      </c>
      <c r="F9" s="119" t="inlineStr">
        <is>
          <t>MOJINETE</t>
        </is>
      </c>
      <c r="G9" s="120" t="n">
        <v>51028</v>
      </c>
      <c r="H9" s="121" t="n"/>
      <c r="I9" s="69" t="n">
        <v>22.067</v>
      </c>
      <c r="J9" s="103" t="n"/>
      <c r="K9" s="122" t="n"/>
      <c r="L9" s="122" t="inlineStr">
        <is>
          <t>MIGUEL TIJRA</t>
        </is>
      </c>
      <c r="M9" s="71" t="inlineStr">
        <is>
          <t>HECTOR QUISPE</t>
        </is>
      </c>
      <c r="N9" s="72" t="inlineStr">
        <is>
          <t>2263 PKI</t>
        </is>
      </c>
      <c r="O9" s="73">
        <f>+O8+1</f>
        <v/>
      </c>
      <c r="P9" s="88" t="n">
        <v>150</v>
      </c>
      <c r="Q9" s="51" t="n"/>
      <c r="R9" s="22" t="n"/>
      <c r="S9" s="45" t="n"/>
      <c r="T9" s="47" t="n"/>
      <c r="U9" s="44" t="n"/>
      <c r="V9" s="43" t="n"/>
      <c r="W9" s="44" t="n"/>
      <c r="X9" s="44" t="n"/>
      <c r="Y9" s="43" t="n"/>
    </row>
    <row r="10" ht="15.75" customHeight="1">
      <c r="A10" s="56" t="n">
        <v>4</v>
      </c>
      <c r="B10" s="116" t="n">
        <v>46296</v>
      </c>
      <c r="C10" s="117" t="inlineStr">
        <is>
          <t>04/10</t>
        </is>
      </c>
      <c r="D10" s="118" t="n">
        <v>218959</v>
      </c>
      <c r="E10" s="94" t="n">
        <v>18.62</v>
      </c>
      <c r="F10" s="119" t="inlineStr">
        <is>
          <t>MOJINETE</t>
        </is>
      </c>
      <c r="G10" s="120" t="n">
        <v>51028</v>
      </c>
      <c r="H10" s="121" t="n"/>
      <c r="I10" s="69" t="n">
        <v>18.62</v>
      </c>
      <c r="J10" s="103" t="n"/>
      <c r="K10" s="122" t="n"/>
      <c r="L10" s="122" t="inlineStr">
        <is>
          <t>MIGUEL TIJRA</t>
        </is>
      </c>
      <c r="M10" s="71" t="inlineStr">
        <is>
          <t>JESUS COPA</t>
        </is>
      </c>
      <c r="N10" s="72" t="inlineStr">
        <is>
          <t>1387 LGH</t>
        </is>
      </c>
      <c r="O10" s="73">
        <f>+O9+1</f>
        <v/>
      </c>
      <c r="P10" s="88" t="n">
        <v>150</v>
      </c>
      <c r="Q10" s="52" t="n"/>
      <c r="R10" s="22" t="n"/>
      <c r="S10" s="45" t="n"/>
      <c r="T10" s="47" t="n"/>
      <c r="U10" s="44" t="n"/>
      <c r="V10" s="44" t="n"/>
      <c r="W10" s="44" t="n"/>
      <c r="X10" s="43" t="n"/>
      <c r="Y10" s="44" t="n"/>
    </row>
    <row r="11" ht="15.75" customHeight="1">
      <c r="A11" s="56" t="n">
        <v>5</v>
      </c>
      <c r="B11" s="116" t="n">
        <v>46296</v>
      </c>
      <c r="C11" s="117" t="inlineStr">
        <is>
          <t>05/10</t>
        </is>
      </c>
      <c r="D11" s="118" t="n">
        <v>218960</v>
      </c>
      <c r="E11" s="94" t="n">
        <v>24.63</v>
      </c>
      <c r="F11" s="119" t="inlineStr">
        <is>
          <t>SAN PABLO</t>
        </is>
      </c>
      <c r="G11" s="120" t="n">
        <v>51015</v>
      </c>
      <c r="H11" s="121" t="n"/>
      <c r="I11" s="69" t="n"/>
      <c r="J11" s="103" t="n"/>
      <c r="K11" s="122" t="n">
        <v>24.63</v>
      </c>
      <c r="L11" s="122" t="inlineStr">
        <is>
          <t>EMUSA</t>
        </is>
      </c>
      <c r="M11" s="71" t="inlineStr">
        <is>
          <t>OVIDIO RAMOS</t>
        </is>
      </c>
      <c r="N11" s="72" t="inlineStr">
        <is>
          <t>6480 DDH</t>
        </is>
      </c>
      <c r="O11" s="73">
        <f>+O10+1</f>
        <v/>
      </c>
      <c r="P11" s="88" t="n"/>
      <c r="Q11" s="51" t="n"/>
      <c r="R11" s="22" t="n"/>
      <c r="S11" s="45" t="n"/>
      <c r="T11" s="47" t="n"/>
      <c r="U11" s="13" t="n"/>
      <c r="V11" s="13" t="n"/>
      <c r="W11" s="14">
        <f>+E11</f>
        <v/>
      </c>
      <c r="X11" s="77" t="n"/>
      <c r="Y11" s="77" t="n"/>
    </row>
    <row r="12" ht="15.75" customHeight="1">
      <c r="A12" s="56" t="n">
        <v>6</v>
      </c>
      <c r="B12" s="116" t="n">
        <v>46296</v>
      </c>
      <c r="C12" s="117" t="inlineStr">
        <is>
          <t>06/10</t>
        </is>
      </c>
      <c r="D12" s="118" t="n">
        <v>218961</v>
      </c>
      <c r="E12" s="94" t="n">
        <v>28.78</v>
      </c>
      <c r="F12" s="119" t="inlineStr">
        <is>
          <t>SAN PABLO</t>
        </is>
      </c>
      <c r="G12" s="120" t="n">
        <v>51015</v>
      </c>
      <c r="H12" s="121" t="n"/>
      <c r="I12" s="69" t="n"/>
      <c r="J12" s="103" t="n"/>
      <c r="K12" s="122" t="n">
        <v>28.78</v>
      </c>
      <c r="L12" s="122" t="inlineStr">
        <is>
          <t>EMUSA</t>
        </is>
      </c>
      <c r="M12" s="71" t="inlineStr">
        <is>
          <t>SIMON CRUZ</t>
        </is>
      </c>
      <c r="N12" s="72" t="inlineStr">
        <is>
          <t>6422 LZD</t>
        </is>
      </c>
      <c r="O12" s="73">
        <f>+O11+1</f>
        <v/>
      </c>
      <c r="P12" s="88" t="n"/>
      <c r="Q12" s="52" t="n"/>
      <c r="R12" s="22" t="n"/>
      <c r="S12" s="45" t="n"/>
      <c r="T12" s="47" t="n"/>
      <c r="U12" s="14">
        <f>+E12</f>
        <v/>
      </c>
      <c r="V12" s="13" t="n"/>
      <c r="W12" s="13" t="n"/>
      <c r="X12" s="77" t="n"/>
      <c r="Y12" s="77" t="n"/>
    </row>
    <row r="13" ht="15.75" customHeight="1">
      <c r="A13" s="56" t="n">
        <v>7</v>
      </c>
      <c r="B13" s="116" t="n">
        <v>46297</v>
      </c>
      <c r="C13" s="117" t="inlineStr">
        <is>
          <t>07/10</t>
        </is>
      </c>
      <c r="D13" s="118" t="n">
        <v>218967</v>
      </c>
      <c r="E13" s="94" t="n">
        <v>26.354</v>
      </c>
      <c r="F13" s="119" t="inlineStr">
        <is>
          <t>SAN PABLO</t>
        </is>
      </c>
      <c r="G13" s="120" t="n">
        <v>51015</v>
      </c>
      <c r="H13" s="121" t="n"/>
      <c r="I13" s="69" t="n"/>
      <c r="J13" s="103" t="n"/>
      <c r="K13" s="122" t="n">
        <v>26.354</v>
      </c>
      <c r="L13" s="122" t="inlineStr">
        <is>
          <t>EMUSA</t>
        </is>
      </c>
      <c r="M13" s="124" t="inlineStr">
        <is>
          <t>WILFREDO TICONA</t>
        </is>
      </c>
      <c r="N13" s="76" t="inlineStr">
        <is>
          <t>6480 DBB</t>
        </is>
      </c>
      <c r="O13" s="73">
        <f>+O12+1</f>
        <v/>
      </c>
      <c r="P13" s="88" t="n"/>
      <c r="Q13" s="51" t="n"/>
      <c r="R13" s="22" t="n"/>
      <c r="S13" s="45" t="n"/>
      <c r="T13" s="47" t="n"/>
      <c r="U13" s="44" t="n"/>
      <c r="V13" s="43">
        <f>+E13</f>
        <v/>
      </c>
      <c r="W13" s="44" t="n"/>
      <c r="X13" s="44" t="n"/>
      <c r="Y13" s="43" t="n"/>
    </row>
    <row r="14" ht="15.75" customHeight="1">
      <c r="A14" s="56" t="n">
        <v>8</v>
      </c>
      <c r="B14" s="116" t="n">
        <v>46297</v>
      </c>
      <c r="C14" s="117" t="inlineStr">
        <is>
          <t>08/10</t>
        </is>
      </c>
      <c r="D14" s="118" t="n">
        <v>218968</v>
      </c>
      <c r="E14" s="94" t="n">
        <v>23.541</v>
      </c>
      <c r="F14" s="119" t="inlineStr">
        <is>
          <t>SAN PABLO</t>
        </is>
      </c>
      <c r="G14" s="120" t="n">
        <v>51015</v>
      </c>
      <c r="H14" s="121" t="n"/>
      <c r="I14" s="69" t="n"/>
      <c r="J14" s="103" t="n"/>
      <c r="K14" s="122" t="n">
        <v>23.541</v>
      </c>
      <c r="L14" s="122" t="inlineStr">
        <is>
          <t>JUAN FARFAN</t>
        </is>
      </c>
      <c r="M14" s="124" t="inlineStr">
        <is>
          <t>JESUSO FAJARDO</t>
        </is>
      </c>
      <c r="N14" s="76" t="inlineStr">
        <is>
          <t>1923 UZH</t>
        </is>
      </c>
      <c r="O14" s="73">
        <f>+O13+1</f>
        <v/>
      </c>
      <c r="P14" s="88" t="n">
        <v>150</v>
      </c>
      <c r="Q14" s="52" t="n"/>
      <c r="R14" s="22" t="n"/>
      <c r="S14" s="45" t="n"/>
      <c r="T14" s="47" t="n"/>
      <c r="U14" s="43" t="n"/>
      <c r="V14" s="44" t="n"/>
      <c r="W14" s="44" t="n"/>
      <c r="X14" s="43" t="n"/>
      <c r="Y14" s="44" t="n"/>
    </row>
    <row r="15" ht="15.75" customHeight="1">
      <c r="A15" s="56" t="n">
        <v>9</v>
      </c>
      <c r="B15" s="116" t="n">
        <v>46297</v>
      </c>
      <c r="C15" s="117" t="inlineStr">
        <is>
          <t>09/10</t>
        </is>
      </c>
      <c r="D15" s="118" t="n">
        <v>218969</v>
      </c>
      <c r="E15" s="94" t="n">
        <v>21.999</v>
      </c>
      <c r="F15" s="119" t="inlineStr">
        <is>
          <t>SAN PABLO</t>
        </is>
      </c>
      <c r="G15" s="120" t="n">
        <v>51015</v>
      </c>
      <c r="H15" s="121" t="n"/>
      <c r="I15" s="69" t="n"/>
      <c r="J15" s="103" t="n"/>
      <c r="K15" s="122" t="n">
        <v>21.999</v>
      </c>
      <c r="L15" s="122" t="inlineStr">
        <is>
          <t>MIGUEL TIJRA</t>
        </is>
      </c>
      <c r="M15" s="124" t="inlineStr">
        <is>
          <t>WILFREDO ARUQUIPA</t>
        </is>
      </c>
      <c r="N15" s="76" t="inlineStr">
        <is>
          <t>1630 UGE</t>
        </is>
      </c>
      <c r="O15" s="73">
        <f>+O14+1</f>
        <v/>
      </c>
      <c r="P15" s="88" t="n">
        <v>150</v>
      </c>
      <c r="Q15" s="51" t="n"/>
      <c r="R15" s="22" t="n"/>
      <c r="S15" s="45" t="n"/>
      <c r="T15" s="47" t="n"/>
      <c r="U15" s="44" t="n"/>
      <c r="V15" s="44" t="n"/>
      <c r="W15" s="44" t="n"/>
      <c r="X15" s="43" t="n"/>
      <c r="Y15" s="44" t="n"/>
    </row>
    <row r="16" ht="15.75" customHeight="1">
      <c r="A16" s="56" t="n">
        <v>10</v>
      </c>
      <c r="B16" s="116" t="n">
        <v>46297</v>
      </c>
      <c r="C16" s="117" t="inlineStr">
        <is>
          <t>10/10</t>
        </is>
      </c>
      <c r="D16" s="118" t="n">
        <v>218970</v>
      </c>
      <c r="E16" s="94" t="n">
        <v>22.022</v>
      </c>
      <c r="F16" s="119" t="inlineStr">
        <is>
          <t>SAN PABLO</t>
        </is>
      </c>
      <c r="G16" s="120" t="n">
        <v>51015</v>
      </c>
      <c r="H16" s="121" t="n"/>
      <c r="I16" s="77" t="n"/>
      <c r="J16" s="103" t="n"/>
      <c r="K16" s="122" t="n">
        <v>22.022</v>
      </c>
      <c r="L16" s="122" t="inlineStr">
        <is>
          <t>MIGUEL TIJRA</t>
        </is>
      </c>
      <c r="M16" s="124" t="inlineStr">
        <is>
          <t>MARCO ZEBALLOS</t>
        </is>
      </c>
      <c r="N16" s="76" t="inlineStr">
        <is>
          <t>2797 PCA</t>
        </is>
      </c>
      <c r="O16" s="73">
        <f>+O15+1</f>
        <v/>
      </c>
      <c r="P16" s="88" t="n">
        <v>150</v>
      </c>
      <c r="Q16" s="52" t="n"/>
      <c r="R16" s="22" t="n"/>
      <c r="S16" s="45" t="n"/>
      <c r="T16" s="47" t="n"/>
      <c r="U16" s="77" t="n"/>
      <c r="V16" s="69" t="n"/>
      <c r="W16" s="77" t="n"/>
      <c r="X16" s="69" t="n"/>
      <c r="Y16" s="77" t="n"/>
    </row>
    <row r="17" ht="15.75" customHeight="1">
      <c r="A17" s="56" t="n">
        <v>11</v>
      </c>
      <c r="B17" s="116" t="n">
        <v>46297</v>
      </c>
      <c r="C17" s="117" t="inlineStr">
        <is>
          <t>11/10</t>
        </is>
      </c>
      <c r="D17" s="118" t="n">
        <v>218971</v>
      </c>
      <c r="E17" s="94" t="n">
        <v>25.651</v>
      </c>
      <c r="F17" s="119" t="inlineStr">
        <is>
          <t>SAN PABLO</t>
        </is>
      </c>
      <c r="G17" s="120" t="n">
        <v>51015</v>
      </c>
      <c r="H17" s="121" t="n"/>
      <c r="I17" s="77" t="n"/>
      <c r="J17" s="103" t="n"/>
      <c r="K17" s="122" t="n">
        <v>25.651</v>
      </c>
      <c r="L17" s="122" t="inlineStr">
        <is>
          <t>EMUSA</t>
        </is>
      </c>
      <c r="M17" s="124" t="inlineStr">
        <is>
          <t>JUAN NINA</t>
        </is>
      </c>
      <c r="N17" s="76" t="inlineStr">
        <is>
          <t>6657 DZH</t>
        </is>
      </c>
      <c r="O17" s="73">
        <f>+O16+1</f>
        <v/>
      </c>
      <c r="P17" s="88" t="n"/>
      <c r="Q17" s="53" t="n"/>
      <c r="R17" s="22" t="n"/>
      <c r="S17" s="45" t="n"/>
      <c r="T17" s="47" t="n"/>
      <c r="U17" s="44" t="n"/>
      <c r="V17" s="44" t="n"/>
      <c r="W17" s="43" t="n"/>
      <c r="X17" s="43">
        <f>+E17</f>
        <v/>
      </c>
      <c r="Y17" s="43" t="n"/>
    </row>
    <row r="18" ht="15.75" customHeight="1">
      <c r="A18" s="56" t="n">
        <v>12</v>
      </c>
      <c r="B18" s="116" t="n">
        <v>46297</v>
      </c>
      <c r="C18" s="117" t="inlineStr">
        <is>
          <t>12/10</t>
        </is>
      </c>
      <c r="D18" s="118" t="n">
        <v>218972</v>
      </c>
      <c r="E18" s="94" t="n">
        <v>24.358</v>
      </c>
      <c r="F18" s="119" t="inlineStr">
        <is>
          <t>SAN PABLO</t>
        </is>
      </c>
      <c r="G18" s="120" t="n">
        <v>51015</v>
      </c>
      <c r="H18" s="121" t="n"/>
      <c r="I18" s="77" t="n"/>
      <c r="J18" s="103" t="n"/>
      <c r="K18" s="122" t="n">
        <v>24.358</v>
      </c>
      <c r="L18" s="122" t="inlineStr">
        <is>
          <t>EMUSA</t>
        </is>
      </c>
      <c r="M18" s="71" t="inlineStr">
        <is>
          <t>EDWIN TAPIA</t>
        </is>
      </c>
      <c r="N18" s="76" t="inlineStr">
        <is>
          <t>6657 DYE</t>
        </is>
      </c>
      <c r="O18" s="73">
        <f>+O17+1</f>
        <v/>
      </c>
      <c r="P18" s="88" t="n"/>
      <c r="Q18" s="52" t="n"/>
      <c r="R18" s="22" t="n"/>
      <c r="S18" s="45" t="n"/>
      <c r="T18" s="47" t="n"/>
      <c r="U18" s="14" t="n"/>
      <c r="V18" s="14" t="n"/>
      <c r="W18" s="13" t="n"/>
      <c r="X18" s="69" t="n"/>
      <c r="Y18" s="69">
        <f>+E18</f>
        <v/>
      </c>
    </row>
    <row r="19" ht="15.75" customHeight="1">
      <c r="A19" s="56" t="n">
        <v>13</v>
      </c>
      <c r="B19" s="116" t="n">
        <v>46297</v>
      </c>
      <c r="C19" s="117" t="inlineStr">
        <is>
          <t>13/10</t>
        </is>
      </c>
      <c r="D19" s="118" t="n">
        <v>218973</v>
      </c>
      <c r="E19" s="94" t="n">
        <v>21.931</v>
      </c>
      <c r="F19" s="119" t="inlineStr">
        <is>
          <t>SAN PABLO</t>
        </is>
      </c>
      <c r="G19" s="120" t="n">
        <v>51015</v>
      </c>
      <c r="H19" s="121" t="n"/>
      <c r="I19" s="69" t="n"/>
      <c r="J19" s="103" t="n"/>
      <c r="K19" s="122" t="n">
        <v>21.931</v>
      </c>
      <c r="L19" s="122" t="inlineStr">
        <is>
          <t>MIGUEL TIJRA</t>
        </is>
      </c>
      <c r="M19" s="71" t="inlineStr">
        <is>
          <t>HECTOR QUISPE</t>
        </is>
      </c>
      <c r="N19" s="76" t="inlineStr">
        <is>
          <t>2263 PKI</t>
        </is>
      </c>
      <c r="O19" s="73">
        <f>+O18+1</f>
        <v/>
      </c>
      <c r="P19" s="88" t="n">
        <v>150</v>
      </c>
      <c r="Q19" s="51" t="n"/>
      <c r="R19" s="22" t="n"/>
      <c r="S19" s="45" t="n"/>
      <c r="T19" s="47" t="n"/>
      <c r="U19" s="14" t="n"/>
      <c r="V19" s="13" t="n"/>
      <c r="W19" s="13" t="n"/>
      <c r="X19" s="69" t="n"/>
      <c r="Y19" s="69" t="n"/>
    </row>
    <row r="20" ht="15.75" customHeight="1">
      <c r="A20" s="56" t="n">
        <v>14</v>
      </c>
      <c r="B20" s="116" t="n">
        <v>46297</v>
      </c>
      <c r="C20" s="117" t="inlineStr">
        <is>
          <t>14/10</t>
        </is>
      </c>
      <c r="D20" s="118" t="n">
        <v>218974</v>
      </c>
      <c r="E20" s="94" t="n">
        <v>22.612</v>
      </c>
      <c r="F20" s="119" t="inlineStr">
        <is>
          <t>SAN PABLO</t>
        </is>
      </c>
      <c r="G20" s="120" t="n">
        <v>51015</v>
      </c>
      <c r="H20" s="121" t="n"/>
      <c r="I20" s="69" t="n"/>
      <c r="J20" s="103" t="n"/>
      <c r="K20" s="122" t="n">
        <v>22.612</v>
      </c>
      <c r="L20" s="122" t="inlineStr">
        <is>
          <t>MIGUEL TIJRA</t>
        </is>
      </c>
      <c r="M20" s="71" t="inlineStr">
        <is>
          <t>JESUS COPA</t>
        </is>
      </c>
      <c r="N20" s="76" t="inlineStr">
        <is>
          <t>1387 LGH</t>
        </is>
      </c>
      <c r="O20" s="73">
        <f>+O19+1</f>
        <v/>
      </c>
      <c r="P20" s="88" t="n">
        <v>150</v>
      </c>
      <c r="Q20" s="52" t="n"/>
      <c r="R20" s="22" t="n"/>
      <c r="S20" s="45" t="n"/>
      <c r="T20" s="47" t="n"/>
      <c r="U20" s="13" t="n"/>
      <c r="V20" s="13" t="n"/>
      <c r="W20" s="13" t="n"/>
      <c r="X20" s="69" t="n"/>
      <c r="Y20" s="77" t="n"/>
    </row>
    <row r="21" ht="15.75" customHeight="1">
      <c r="A21" s="56" t="n">
        <v>15</v>
      </c>
      <c r="B21" s="116" t="n">
        <v>46297</v>
      </c>
      <c r="C21" s="117" t="inlineStr">
        <is>
          <t>15/10</t>
        </is>
      </c>
      <c r="D21" s="118" t="n">
        <v>218975</v>
      </c>
      <c r="E21" s="94" t="n">
        <v>25.969</v>
      </c>
      <c r="F21" s="119" t="inlineStr">
        <is>
          <t>SAN PABLO</t>
        </is>
      </c>
      <c r="G21" s="120" t="n">
        <v>51015</v>
      </c>
      <c r="H21" s="103" t="n"/>
      <c r="I21" s="69" t="n"/>
      <c r="J21" s="103" t="n"/>
      <c r="K21" s="122" t="n">
        <v>25.968</v>
      </c>
      <c r="L21" s="122" t="inlineStr">
        <is>
          <t>ROGER QUISPE MIRANDA</t>
        </is>
      </c>
      <c r="M21" s="86" t="inlineStr">
        <is>
          <t>MIGUEL SANDI</t>
        </is>
      </c>
      <c r="N21" s="58" t="inlineStr">
        <is>
          <t>2824 TEE</t>
        </is>
      </c>
      <c r="O21" s="73">
        <f>+O20+1</f>
        <v/>
      </c>
      <c r="P21" s="89" t="n">
        <v>340</v>
      </c>
      <c r="Q21" s="51" t="n"/>
      <c r="R21" s="22" t="n"/>
      <c r="S21" s="45" t="n"/>
      <c r="T21" s="47" t="n"/>
      <c r="U21" s="13" t="n"/>
      <c r="V21" s="13" t="n"/>
      <c r="W21" s="13" t="n"/>
      <c r="X21" s="77" t="n"/>
      <c r="Y21" s="69" t="n"/>
    </row>
    <row r="22" ht="15.75" customHeight="1">
      <c r="A22" s="56" t="n">
        <v>16</v>
      </c>
      <c r="B22" s="116" t="n">
        <v>46297</v>
      </c>
      <c r="C22" s="117" t="inlineStr">
        <is>
          <t>16/10</t>
        </is>
      </c>
      <c r="D22" s="118" t="n">
        <v>218976</v>
      </c>
      <c r="E22" s="94" t="n">
        <v>25.446</v>
      </c>
      <c r="F22" s="119" t="inlineStr">
        <is>
          <t>SAN PABLO</t>
        </is>
      </c>
      <c r="G22" s="120" t="n">
        <v>51015</v>
      </c>
      <c r="H22" s="121" t="n"/>
      <c r="I22" s="69" t="n"/>
      <c r="J22" s="103" t="n"/>
      <c r="K22" s="122" t="n">
        <v>25.447</v>
      </c>
      <c r="L22" s="122" t="inlineStr">
        <is>
          <t>ROGER QUISPE MIRANDA</t>
        </is>
      </c>
      <c r="M22" s="86" t="inlineStr">
        <is>
          <t>FERNANDO SANDI</t>
        </is>
      </c>
      <c r="N22" s="58" t="inlineStr">
        <is>
          <t>1497 DYL</t>
        </is>
      </c>
      <c r="O22" s="73">
        <f>+O21+1</f>
        <v/>
      </c>
      <c r="P22" s="89" t="n">
        <v>340</v>
      </c>
      <c r="Q22" s="52" t="n"/>
      <c r="R22" s="22" t="n"/>
      <c r="S22" s="45" t="n"/>
      <c r="T22" s="47" t="n"/>
      <c r="U22" s="13" t="n"/>
      <c r="V22" s="13" t="n"/>
      <c r="W22" s="14" t="n"/>
      <c r="X22" s="77" t="n"/>
      <c r="Y22" s="69" t="n"/>
    </row>
    <row r="23" ht="15.75" customHeight="1">
      <c r="A23" s="56" t="n">
        <v>17</v>
      </c>
      <c r="B23" s="116" t="n">
        <v>46297</v>
      </c>
      <c r="C23" s="117" t="inlineStr">
        <is>
          <t>17/10</t>
        </is>
      </c>
      <c r="D23" s="118" t="n">
        <v>218977</v>
      </c>
      <c r="E23" s="94" t="n">
        <v>26.036</v>
      </c>
      <c r="F23" s="119" t="inlineStr">
        <is>
          <t>SAN PABLO</t>
        </is>
      </c>
      <c r="G23" s="120" t="n">
        <v>51015</v>
      </c>
      <c r="H23" s="121" t="n"/>
      <c r="I23" s="69" t="n"/>
      <c r="J23" s="103" t="n"/>
      <c r="K23" s="122" t="n">
        <v>26.036</v>
      </c>
      <c r="L23" s="122" t="inlineStr">
        <is>
          <t>ROGER QUISPE MIRANDA</t>
        </is>
      </c>
      <c r="M23" s="86" t="inlineStr">
        <is>
          <t>EDGAR SANDI</t>
        </is>
      </c>
      <c r="N23" s="58" t="inlineStr">
        <is>
          <t>1117 LSA</t>
        </is>
      </c>
      <c r="O23" s="73">
        <f>+O22+1</f>
        <v/>
      </c>
      <c r="P23" s="89" t="n">
        <v>340</v>
      </c>
      <c r="Q23" s="51" t="n"/>
      <c r="R23" s="22" t="n"/>
      <c r="S23" s="45" t="n"/>
      <c r="T23" s="47" t="n"/>
      <c r="U23" s="13" t="n"/>
      <c r="V23" s="14" t="n"/>
      <c r="W23" s="13" t="n"/>
      <c r="X23" s="69" t="n"/>
      <c r="Y23" s="69" t="n"/>
    </row>
    <row r="24" ht="15.75" customHeight="1">
      <c r="A24" s="56" t="n">
        <v>18</v>
      </c>
      <c r="B24" s="116" t="n">
        <v>46297</v>
      </c>
      <c r="C24" s="117" t="inlineStr">
        <is>
          <t>18/10</t>
        </is>
      </c>
      <c r="D24" s="118" t="n">
        <v>218978</v>
      </c>
      <c r="E24" s="94" t="n">
        <v>25.764</v>
      </c>
      <c r="F24" s="119" t="inlineStr">
        <is>
          <t>SAN PABLO</t>
        </is>
      </c>
      <c r="G24" s="120" t="n">
        <v>51015</v>
      </c>
      <c r="H24" s="121" t="n"/>
      <c r="I24" s="69" t="n"/>
      <c r="J24" s="103" t="n"/>
      <c r="K24" s="122" t="n">
        <v>25.764</v>
      </c>
      <c r="L24" s="122" t="inlineStr">
        <is>
          <t>ROGER QUISPE MIRANDA</t>
        </is>
      </c>
      <c r="M24" s="86" t="inlineStr">
        <is>
          <t>ALFREDO SANDI</t>
        </is>
      </c>
      <c r="N24" s="58" t="inlineStr">
        <is>
          <t>2343 EKE</t>
        </is>
      </c>
      <c r="O24" s="73">
        <f>+O23+1</f>
        <v/>
      </c>
      <c r="P24" s="89" t="n">
        <v>340</v>
      </c>
      <c r="Q24" s="52" t="n"/>
      <c r="R24" s="22" t="n"/>
      <c r="S24" s="45" t="n"/>
      <c r="T24" s="47" t="n"/>
      <c r="U24" s="14" t="n"/>
      <c r="V24" s="14" t="n"/>
      <c r="W24" s="13" t="n"/>
      <c r="X24" s="69" t="n"/>
      <c r="Y24" s="69" t="n"/>
    </row>
    <row r="25" ht="15.75" customHeight="1">
      <c r="A25" s="56" t="n">
        <v>19</v>
      </c>
      <c r="B25" s="116" t="n">
        <v>46297</v>
      </c>
      <c r="C25" s="117" t="inlineStr">
        <is>
          <t>19/10</t>
        </is>
      </c>
      <c r="D25" s="118" t="n">
        <v>218979</v>
      </c>
      <c r="E25" s="94" t="n">
        <v>26.127</v>
      </c>
      <c r="F25" s="119" t="inlineStr">
        <is>
          <t>SAN PABLO</t>
        </is>
      </c>
      <c r="G25" s="120" t="n">
        <v>51015</v>
      </c>
      <c r="H25" s="121" t="n"/>
      <c r="I25" s="69" t="n"/>
      <c r="J25" s="103" t="n"/>
      <c r="K25" s="122" t="n">
        <v>26.127</v>
      </c>
      <c r="L25" s="122" t="inlineStr">
        <is>
          <t>ROGER QUISPE MIRANDA</t>
        </is>
      </c>
      <c r="M25" s="86" t="inlineStr">
        <is>
          <t>MARCO SANDI</t>
        </is>
      </c>
      <c r="N25" s="58" t="inlineStr">
        <is>
          <t>1264 FYT</t>
        </is>
      </c>
      <c r="O25" s="73">
        <f>+O24+1</f>
        <v/>
      </c>
      <c r="P25" s="89" t="n">
        <v>340</v>
      </c>
      <c r="Q25" s="53" t="n"/>
      <c r="R25" s="22" t="n"/>
      <c r="S25" s="45" t="n"/>
      <c r="T25" s="47" t="n"/>
      <c r="U25" s="14" t="n"/>
      <c r="V25" s="13" t="n"/>
      <c r="W25" s="13" t="n"/>
      <c r="X25" s="69" t="n"/>
      <c r="Y25" s="77" t="n"/>
    </row>
    <row r="26" ht="15.75" customHeight="1">
      <c r="A26" s="56" t="n">
        <v>20</v>
      </c>
      <c r="B26" s="116" t="n">
        <v>46297</v>
      </c>
      <c r="C26" s="117" t="inlineStr">
        <is>
          <t>20/10</t>
        </is>
      </c>
      <c r="D26" s="118" t="n">
        <v>218980</v>
      </c>
      <c r="E26" s="94" t="n">
        <v>25.333</v>
      </c>
      <c r="F26" s="119" t="inlineStr">
        <is>
          <t>SAN PABLO</t>
        </is>
      </c>
      <c r="G26" s="120" t="n">
        <v>51015</v>
      </c>
      <c r="H26" s="121" t="n"/>
      <c r="I26" s="69" t="n"/>
      <c r="J26" s="103" t="n"/>
      <c r="K26" s="122" t="n">
        <v>25.333</v>
      </c>
      <c r="L26" s="122" t="inlineStr">
        <is>
          <t>ROGER QUISPE MIRANDA</t>
        </is>
      </c>
      <c r="M26" s="86" t="inlineStr">
        <is>
          <t>IVER MURILLO</t>
        </is>
      </c>
      <c r="N26" s="58" t="inlineStr">
        <is>
          <t>1190 ITF</t>
        </is>
      </c>
      <c r="O26" s="73">
        <f>+O25+1</f>
        <v/>
      </c>
      <c r="P26" s="89" t="n">
        <v>340</v>
      </c>
      <c r="Q26" s="52" t="n"/>
      <c r="R26" s="22" t="n"/>
      <c r="S26" s="45" t="n"/>
      <c r="T26" s="47" t="n"/>
      <c r="U26" s="13" t="n"/>
      <c r="V26" s="13" t="n"/>
      <c r="W26" s="13" t="n"/>
      <c r="X26" s="69" t="n"/>
      <c r="Y26" s="77" t="n"/>
    </row>
    <row r="27" ht="15.75" customHeight="1">
      <c r="A27" s="56" t="n">
        <v>21</v>
      </c>
      <c r="B27" s="116" t="n">
        <v>46297</v>
      </c>
      <c r="C27" s="117" t="inlineStr">
        <is>
          <t>21/10</t>
        </is>
      </c>
      <c r="D27" s="118" t="n">
        <v>218981</v>
      </c>
      <c r="E27" s="94" t="n">
        <v>25.515</v>
      </c>
      <c r="F27" s="119" t="inlineStr">
        <is>
          <t>SAN PABLO</t>
        </is>
      </c>
      <c r="G27" s="120" t="n">
        <v>51015</v>
      </c>
      <c r="H27" s="121" t="n"/>
      <c r="I27" s="69" t="n"/>
      <c r="J27" s="103" t="n"/>
      <c r="K27" s="122" t="n">
        <v>25.515</v>
      </c>
      <c r="L27" s="122" t="inlineStr">
        <is>
          <t>ROGER QUISPE MIRANDA</t>
        </is>
      </c>
      <c r="M27" s="59" t="inlineStr">
        <is>
          <t>MARVIN RAMOS</t>
        </is>
      </c>
      <c r="N27" s="57" t="inlineStr">
        <is>
          <t>2075 ZFB</t>
        </is>
      </c>
      <c r="O27" s="73">
        <f>+O26+1</f>
        <v/>
      </c>
      <c r="P27" s="89" t="n">
        <v>340</v>
      </c>
      <c r="Q27" s="51" t="n"/>
      <c r="R27" s="22" t="n"/>
      <c r="S27" s="45" t="n"/>
      <c r="T27" s="47" t="n"/>
      <c r="U27" s="13" t="n"/>
      <c r="V27" s="13" t="n"/>
      <c r="W27" s="13" t="n"/>
      <c r="X27" s="77" t="n"/>
      <c r="Y27" s="69" t="n"/>
    </row>
    <row r="28" ht="15.75" customHeight="1">
      <c r="A28" s="56" t="n">
        <v>22</v>
      </c>
      <c r="B28" s="116" t="n">
        <v>46297</v>
      </c>
      <c r="C28" s="117" t="inlineStr">
        <is>
          <t>22/10</t>
        </is>
      </c>
      <c r="D28" s="118" t="n">
        <v>218982</v>
      </c>
      <c r="E28" s="94" t="n">
        <v>26.83</v>
      </c>
      <c r="F28" s="119" t="inlineStr">
        <is>
          <t>SAN PABLO</t>
        </is>
      </c>
      <c r="G28" s="120" t="n">
        <v>51015</v>
      </c>
      <c r="H28" s="121" t="n"/>
      <c r="I28" s="69" t="n"/>
      <c r="J28" s="103" t="n"/>
      <c r="K28" s="122" t="n">
        <v>26.83</v>
      </c>
      <c r="L28" s="122" t="inlineStr">
        <is>
          <t>ROGER QUISPE MIRANDA</t>
        </is>
      </c>
      <c r="M28" s="59" t="inlineStr">
        <is>
          <t>FELIX VASQUEZ</t>
        </is>
      </c>
      <c r="N28" s="57" t="inlineStr">
        <is>
          <t>1529 HKX</t>
        </is>
      </c>
      <c r="O28" s="73">
        <f>+O27+1</f>
        <v/>
      </c>
      <c r="P28" s="89" t="n">
        <v>340</v>
      </c>
      <c r="Q28" s="52" t="n"/>
      <c r="R28" s="22" t="n"/>
      <c r="S28" s="45" t="n"/>
      <c r="T28" s="47" t="n"/>
      <c r="U28" s="13" t="n"/>
      <c r="V28" s="13" t="n"/>
      <c r="W28" s="13" t="n"/>
      <c r="X28" s="77" t="n"/>
      <c r="Y28" s="69" t="n"/>
    </row>
    <row r="29" ht="15.75" customHeight="1">
      <c r="A29" s="56" t="n">
        <v>23</v>
      </c>
      <c r="B29" s="116" t="n">
        <v>46297</v>
      </c>
      <c r="C29" s="117" t="inlineStr">
        <is>
          <t>23/10</t>
        </is>
      </c>
      <c r="D29" s="118" t="n">
        <v>218983</v>
      </c>
      <c r="E29" s="94" t="n">
        <v>25.786</v>
      </c>
      <c r="F29" s="119" t="inlineStr">
        <is>
          <t>SAN PABLO</t>
        </is>
      </c>
      <c r="G29" s="120" t="n">
        <v>51015</v>
      </c>
      <c r="H29" s="121" t="n"/>
      <c r="I29" s="69" t="n"/>
      <c r="J29" s="103" t="n"/>
      <c r="K29" s="122" t="n">
        <v>25.787</v>
      </c>
      <c r="L29" s="122" t="inlineStr">
        <is>
          <t>ROGER QUISPE MIRANDA</t>
        </is>
      </c>
      <c r="M29" s="59" t="inlineStr">
        <is>
          <t>EDWIN SANDI</t>
        </is>
      </c>
      <c r="N29" s="57" t="inlineStr">
        <is>
          <t>697 NPF</t>
        </is>
      </c>
      <c r="O29" s="73">
        <f>+O28+1</f>
        <v/>
      </c>
      <c r="P29" s="89" t="n">
        <v>340</v>
      </c>
      <c r="Q29" s="51" t="n"/>
      <c r="R29" s="22" t="n"/>
      <c r="S29" s="45" t="n"/>
      <c r="T29" s="45" t="n"/>
      <c r="U29" s="13" t="n"/>
      <c r="V29" s="13" t="n"/>
      <c r="W29" s="13" t="n"/>
      <c r="X29" s="69" t="n"/>
      <c r="Y29" s="77" t="n"/>
    </row>
    <row r="30" ht="15.75" customHeight="1">
      <c r="A30" s="56" t="n">
        <v>24</v>
      </c>
      <c r="B30" s="116" t="n">
        <v>46297</v>
      </c>
      <c r="C30" s="117" t="inlineStr">
        <is>
          <t>24/10</t>
        </is>
      </c>
      <c r="D30" s="118" t="n">
        <v>218984</v>
      </c>
      <c r="E30" s="94" t="n">
        <v>26.875</v>
      </c>
      <c r="F30" s="119" t="inlineStr">
        <is>
          <t>SAN PABLO</t>
        </is>
      </c>
      <c r="G30" s="120" t="n">
        <v>51015</v>
      </c>
      <c r="H30" s="121" t="n"/>
      <c r="I30" s="69" t="n"/>
      <c r="J30" s="103" t="n"/>
      <c r="K30" s="122" t="n">
        <v>26.875</v>
      </c>
      <c r="L30" s="122" t="inlineStr">
        <is>
          <t>ROGER QUISPE MIRANDA</t>
        </is>
      </c>
      <c r="M30" s="87" t="inlineStr">
        <is>
          <t>WALTER CHOQUE</t>
        </is>
      </c>
      <c r="N30" s="57" t="inlineStr">
        <is>
          <t>598 ULI</t>
        </is>
      </c>
      <c r="O30" s="73">
        <f>+O29+1</f>
        <v/>
      </c>
      <c r="P30" s="89" t="n">
        <v>340</v>
      </c>
      <c r="Q30" s="52" t="n"/>
      <c r="R30" s="22" t="n"/>
      <c r="S30" s="45" t="n"/>
      <c r="T30" s="45" t="n"/>
      <c r="U30" s="77" t="n"/>
      <c r="V30" s="77" t="n"/>
      <c r="W30" s="77" t="n"/>
      <c r="X30" s="77" t="n"/>
      <c r="Y30" s="77" t="n"/>
    </row>
    <row r="31" ht="15.75" customHeight="1">
      <c r="A31" s="56" t="n">
        <v>25</v>
      </c>
      <c r="B31" s="116" t="n">
        <v>46297</v>
      </c>
      <c r="C31" s="117" t="inlineStr">
        <is>
          <t>25/10</t>
        </is>
      </c>
      <c r="D31" s="118" t="n">
        <v>218985</v>
      </c>
      <c r="E31" s="94" t="n">
        <v>26.013</v>
      </c>
      <c r="F31" s="119" t="inlineStr">
        <is>
          <t>SAN PABLO</t>
        </is>
      </c>
      <c r="G31" s="120" t="n">
        <v>51015</v>
      </c>
      <c r="H31" s="121" t="n"/>
      <c r="I31" s="69" t="n"/>
      <c r="J31" s="103" t="n"/>
      <c r="K31" s="122" t="n">
        <v>26.014</v>
      </c>
      <c r="L31" s="122" t="inlineStr">
        <is>
          <t>ROGER QUISPE MIRANDA</t>
        </is>
      </c>
      <c r="M31" s="59" t="inlineStr">
        <is>
          <t>VICENTE SAAVEDRA</t>
        </is>
      </c>
      <c r="N31" s="60" t="inlineStr">
        <is>
          <t>1447 TKH</t>
        </is>
      </c>
      <c r="O31" s="73">
        <f>+O30+1</f>
        <v/>
      </c>
      <c r="P31" s="89" t="n">
        <v>340</v>
      </c>
      <c r="Q31" s="51" t="n"/>
      <c r="R31" s="22" t="n"/>
      <c r="S31" s="45" t="n"/>
      <c r="T31" s="45" t="n"/>
      <c r="U31" s="77" t="n"/>
      <c r="V31" s="77" t="n"/>
      <c r="W31" s="69" t="n"/>
      <c r="X31" s="77" t="n"/>
      <c r="Y31" s="77" t="n"/>
    </row>
    <row r="32" ht="15.75" customHeight="1">
      <c r="A32" s="56" t="n">
        <v>26</v>
      </c>
      <c r="B32" s="116" t="n">
        <v>46297</v>
      </c>
      <c r="C32" s="117" t="inlineStr">
        <is>
          <t>26/10</t>
        </is>
      </c>
      <c r="D32" s="118" t="n">
        <v>218986</v>
      </c>
      <c r="E32" s="94" t="n">
        <v>22.294</v>
      </c>
      <c r="F32" s="119" t="inlineStr">
        <is>
          <t>SAN PABLO</t>
        </is>
      </c>
      <c r="G32" s="120" t="n">
        <v>51015</v>
      </c>
      <c r="H32" s="121" t="n"/>
      <c r="I32" s="69" t="n"/>
      <c r="J32" s="103" t="n"/>
      <c r="K32" s="122" t="n">
        <v>22.294</v>
      </c>
      <c r="L32" s="122" t="inlineStr">
        <is>
          <t>ROGER QUISPE MIRANDA</t>
        </is>
      </c>
      <c r="M32" s="59" t="inlineStr">
        <is>
          <t>FELIPE ROJAS</t>
        </is>
      </c>
      <c r="N32" s="61" t="inlineStr">
        <is>
          <t>826 UUT</t>
        </is>
      </c>
      <c r="O32" s="73">
        <f>+O31+1</f>
        <v/>
      </c>
      <c r="P32" s="89" t="n">
        <v>340</v>
      </c>
      <c r="Q32" s="52" t="n"/>
      <c r="R32" s="22" t="n"/>
      <c r="S32" s="45" t="n"/>
      <c r="T32" s="47" t="n"/>
      <c r="U32" s="77" t="n"/>
      <c r="V32" s="77" t="n"/>
      <c r="W32" s="77" t="n"/>
      <c r="X32" s="77" t="n"/>
      <c r="Y32" s="77" t="n"/>
    </row>
    <row r="33" ht="15.75" customHeight="1">
      <c r="A33" s="56" t="n">
        <v>27</v>
      </c>
      <c r="B33" s="80" t="n">
        <v>46297</v>
      </c>
      <c r="C33" s="117" t="inlineStr">
        <is>
          <t>27/10</t>
        </is>
      </c>
      <c r="D33" s="118" t="n">
        <v>218459</v>
      </c>
      <c r="E33" s="94" t="n">
        <v>24.948</v>
      </c>
      <c r="F33" s="119" t="inlineStr">
        <is>
          <t>SAN PABLO</t>
        </is>
      </c>
      <c r="G33" s="120" t="n">
        <v>51015</v>
      </c>
      <c r="H33" s="121" t="n"/>
      <c r="I33" s="69" t="n"/>
      <c r="J33" s="103" t="n"/>
      <c r="K33" s="122" t="n">
        <v>24.948</v>
      </c>
      <c r="L33" s="122" t="inlineStr">
        <is>
          <t>EMUSA</t>
        </is>
      </c>
      <c r="M33" s="74" t="inlineStr">
        <is>
          <t>WILFREDO TICONA</t>
        </is>
      </c>
      <c r="N33" s="82" t="inlineStr">
        <is>
          <t>6480 DBB</t>
        </is>
      </c>
      <c r="O33" s="73">
        <f>+O32+1</f>
        <v/>
      </c>
      <c r="P33" t="n">
        <v>150</v>
      </c>
      <c r="Q33" s="51" t="n"/>
      <c r="R33" s="22" t="n"/>
      <c r="S33" s="45" t="n"/>
      <c r="T33" s="47" t="n"/>
      <c r="U33" s="77" t="n"/>
      <c r="V33" s="69" t="n"/>
      <c r="W33" s="77" t="n"/>
      <c r="X33" s="77" t="n"/>
      <c r="Y33" s="69">
        <f>+E33</f>
        <v/>
      </c>
    </row>
    <row r="34" ht="15.75" customHeight="1">
      <c r="A34" s="56" t="n">
        <v>28</v>
      </c>
      <c r="B34" s="80" t="n">
        <v>46297</v>
      </c>
      <c r="C34" s="117" t="inlineStr">
        <is>
          <t>28/10</t>
        </is>
      </c>
      <c r="D34" s="118" t="n">
        <v>218456</v>
      </c>
      <c r="E34" s="103" t="n">
        <v>23.224</v>
      </c>
      <c r="F34" s="119" t="inlineStr">
        <is>
          <t>MOJINETE</t>
        </is>
      </c>
      <c r="G34" s="120" t="n">
        <v>51028</v>
      </c>
      <c r="H34" s="79" t="n"/>
      <c r="I34" s="69" t="n">
        <v>23.224</v>
      </c>
      <c r="J34" s="103" t="n"/>
      <c r="K34" s="122" t="n"/>
      <c r="L34" s="122" t="inlineStr">
        <is>
          <t>JUAN FARFAN</t>
        </is>
      </c>
      <c r="M34" s="81" t="inlineStr">
        <is>
          <t>JESUSO FAJARDO</t>
        </is>
      </c>
      <c r="N34" s="74" t="inlineStr">
        <is>
          <t>1623 UZH</t>
        </is>
      </c>
      <c r="O34" s="73">
        <f>+O33+1</f>
        <v/>
      </c>
      <c r="P34" s="88" t="n">
        <v>150</v>
      </c>
      <c r="Q34" s="52" t="n"/>
      <c r="R34" s="22" t="n"/>
      <c r="S34" s="45" t="n"/>
      <c r="T34" s="47" t="n"/>
      <c r="U34" s="77" t="n"/>
      <c r="V34" s="77" t="n"/>
      <c r="W34" s="77" t="n"/>
      <c r="X34" s="77" t="n"/>
      <c r="Y34" s="69" t="n"/>
    </row>
    <row r="35" ht="15.75" customHeight="1">
      <c r="A35" s="56" t="n">
        <v>29</v>
      </c>
      <c r="B35" s="80" t="n">
        <v>46297</v>
      </c>
      <c r="C35" s="117" t="inlineStr">
        <is>
          <t>29/10</t>
        </is>
      </c>
      <c r="D35" s="118" t="n">
        <v>218457</v>
      </c>
      <c r="E35" s="103" t="n">
        <v>22.022</v>
      </c>
      <c r="F35" s="119" t="inlineStr">
        <is>
          <t>MOJINETE</t>
        </is>
      </c>
      <c r="G35" s="120" t="n">
        <v>51028</v>
      </c>
      <c r="H35" s="79" t="n"/>
      <c r="I35" s="69" t="n">
        <v>22.022</v>
      </c>
      <c r="J35" s="103" t="n"/>
      <c r="K35" s="122" t="n"/>
      <c r="L35" s="122" t="inlineStr">
        <is>
          <t>MIGUEL TIJRA</t>
        </is>
      </c>
      <c r="M35" s="81" t="inlineStr">
        <is>
          <t>WILFREDO ARUQUIPA</t>
        </is>
      </c>
      <c r="N35" s="74" t="inlineStr">
        <is>
          <t>1630 UGE</t>
        </is>
      </c>
      <c r="O35" s="73">
        <f>+O34+1</f>
        <v/>
      </c>
      <c r="P35" s="88" t="n">
        <v>150</v>
      </c>
      <c r="Q35" s="51" t="n"/>
      <c r="R35" s="22" t="n"/>
      <c r="S35" s="45" t="n"/>
      <c r="T35" s="47" t="n"/>
      <c r="U35" s="77" t="n"/>
      <c r="V35" s="77" t="n"/>
      <c r="W35" s="77" t="n"/>
      <c r="X35" s="69" t="n"/>
      <c r="Y35" s="69" t="n"/>
    </row>
    <row r="36" ht="15.75" customHeight="1">
      <c r="A36" s="56" t="n">
        <v>30</v>
      </c>
      <c r="B36" s="91" t="n">
        <v>46297</v>
      </c>
      <c r="C36" s="92" t="n"/>
      <c r="D36" s="93" t="n"/>
      <c r="E36" s="94" t="n"/>
      <c r="F36" s="95" t="inlineStr">
        <is>
          <t>MOJINETE</t>
        </is>
      </c>
      <c r="G36" s="96" t="n">
        <v>51028</v>
      </c>
      <c r="H36" s="97" t="n"/>
      <c r="I36" s="98" t="n">
        <v>0</v>
      </c>
      <c r="J36" s="94" t="n"/>
      <c r="K36" s="99" t="n"/>
      <c r="L36" s="99" t="n"/>
      <c r="M36" s="100" t="n"/>
      <c r="N36" s="101" t="n"/>
      <c r="O36" s="73">
        <f>+O35+1</f>
        <v/>
      </c>
      <c r="P36" s="88" t="n">
        <v>150</v>
      </c>
      <c r="Q36" s="52" t="n"/>
      <c r="R36" s="22" t="n"/>
      <c r="S36" s="45" t="n"/>
      <c r="T36" s="47" t="n"/>
      <c r="U36" s="77" t="n"/>
      <c r="V36" s="77" t="n"/>
      <c r="W36" s="77" t="n"/>
      <c r="X36" s="69" t="n"/>
      <c r="Y36" s="77" t="n"/>
    </row>
    <row r="37" ht="15.75" customHeight="1">
      <c r="A37" s="56" t="n">
        <v>31</v>
      </c>
      <c r="B37" s="80" t="n">
        <v>46297</v>
      </c>
      <c r="C37" s="117" t="inlineStr">
        <is>
          <t>31/10</t>
        </is>
      </c>
      <c r="D37" s="118" t="n">
        <v>218462</v>
      </c>
      <c r="E37" s="103" t="n">
        <v>25.038</v>
      </c>
      <c r="F37" s="119" t="inlineStr">
        <is>
          <t>SAN PABLO</t>
        </is>
      </c>
      <c r="G37" s="120" t="n">
        <v>51015</v>
      </c>
      <c r="H37" s="79" t="n"/>
      <c r="I37" s="69" t="n"/>
      <c r="J37" s="103" t="n"/>
      <c r="K37" s="122" t="n">
        <v>25.038</v>
      </c>
      <c r="L37" s="122" t="inlineStr">
        <is>
          <t>ROGER QUISPE MIRANDA</t>
        </is>
      </c>
      <c r="M37" s="86" t="inlineStr">
        <is>
          <t>MIGUEL SANDI</t>
        </is>
      </c>
      <c r="N37" s="58" t="inlineStr">
        <is>
          <t>2824 TEE</t>
        </is>
      </c>
      <c r="O37" s="73">
        <f>+O36+1</f>
        <v/>
      </c>
      <c r="P37" s="88" t="n">
        <v>170</v>
      </c>
      <c r="Q37" s="51" t="n"/>
      <c r="R37" s="22" t="n"/>
      <c r="S37" s="45" t="n"/>
      <c r="T37" s="47" t="n"/>
      <c r="U37" s="77" t="n"/>
      <c r="V37" s="69" t="n"/>
      <c r="W37" s="77" t="n"/>
      <c r="X37" s="69" t="n"/>
      <c r="Y37" s="69" t="n"/>
    </row>
    <row r="38" ht="15.75" customHeight="1">
      <c r="A38" s="56" t="n">
        <v>32</v>
      </c>
      <c r="B38" s="80" t="n">
        <v>46297</v>
      </c>
      <c r="C38" s="117" t="inlineStr">
        <is>
          <t>32/10</t>
        </is>
      </c>
      <c r="D38" s="118" t="n">
        <v>218463</v>
      </c>
      <c r="E38" s="103" t="n">
        <v>25.832</v>
      </c>
      <c r="F38" s="119" t="inlineStr">
        <is>
          <t>SAN PABLO</t>
        </is>
      </c>
      <c r="G38" s="120" t="n">
        <v>51015</v>
      </c>
      <c r="H38" s="79" t="n"/>
      <c r="I38" s="69" t="n"/>
      <c r="J38" s="103" t="n"/>
      <c r="K38" s="122" t="n">
        <v>25.832</v>
      </c>
      <c r="L38" s="122" t="inlineStr">
        <is>
          <t>ROGER QUISPE MIRANDA</t>
        </is>
      </c>
      <c r="M38" s="86" t="inlineStr">
        <is>
          <t>FERNANDO SANDI</t>
        </is>
      </c>
      <c r="N38" s="58" t="inlineStr">
        <is>
          <t>1497 DYL</t>
        </is>
      </c>
      <c r="O38" s="73">
        <f>+O37+1</f>
        <v/>
      </c>
      <c r="P38" s="88" t="n">
        <v>170</v>
      </c>
      <c r="Q38" s="52" t="n"/>
      <c r="R38" s="22" t="n"/>
      <c r="S38" s="45" t="n"/>
      <c r="T38" s="47" t="n"/>
      <c r="U38" s="77" t="n"/>
      <c r="V38" s="77" t="n"/>
      <c r="W38" s="69" t="n"/>
      <c r="X38" s="69" t="n"/>
      <c r="Y38" s="77" t="n"/>
    </row>
    <row r="39" ht="15.75" customHeight="1">
      <c r="A39" s="56" t="n">
        <v>33</v>
      </c>
      <c r="B39" s="80" t="n">
        <v>46297</v>
      </c>
      <c r="C39" s="117" t="inlineStr">
        <is>
          <t>33/10</t>
        </is>
      </c>
      <c r="D39" s="118" t="n">
        <v>218460</v>
      </c>
      <c r="E39" s="103" t="n">
        <v>24.313</v>
      </c>
      <c r="F39" s="119" t="inlineStr">
        <is>
          <t>SAN PABLO</t>
        </is>
      </c>
      <c r="G39" s="120" t="n">
        <v>51015</v>
      </c>
      <c r="H39" s="79" t="n"/>
      <c r="I39" s="69" t="n"/>
      <c r="J39" s="103" t="n"/>
      <c r="K39" s="122" t="n">
        <v>24.313</v>
      </c>
      <c r="L39" s="122" t="inlineStr">
        <is>
          <t>ROGER QUISPE MIRANDA</t>
        </is>
      </c>
      <c r="M39" s="86" t="inlineStr">
        <is>
          <t>EDGAR SANDI</t>
        </is>
      </c>
      <c r="N39" s="58" t="inlineStr">
        <is>
          <t>1117 LSA</t>
        </is>
      </c>
      <c r="O39" s="73">
        <f>+O38+1</f>
        <v/>
      </c>
      <c r="P39" s="88" t="n">
        <v>170</v>
      </c>
      <c r="Q39" s="51" t="n"/>
      <c r="R39" s="22" t="n"/>
      <c r="S39" s="45" t="n"/>
      <c r="T39" s="47" t="n"/>
      <c r="U39" s="69" t="n"/>
      <c r="V39" s="77" t="n"/>
      <c r="W39" s="77" t="n"/>
      <c r="X39" s="69" t="n"/>
      <c r="Y39" s="77" t="n"/>
    </row>
    <row r="40" ht="15.75" customHeight="1">
      <c r="A40" s="56" t="n">
        <v>34</v>
      </c>
      <c r="B40" s="80" t="n">
        <v>46297</v>
      </c>
      <c r="C40" s="117" t="inlineStr">
        <is>
          <t>34/10</t>
        </is>
      </c>
      <c r="D40" s="118" t="n">
        <v>218461</v>
      </c>
      <c r="E40" s="103" t="n">
        <v>25.741</v>
      </c>
      <c r="F40" s="119" t="inlineStr">
        <is>
          <t>SAN PABLO</t>
        </is>
      </c>
      <c r="G40" s="120" t="n">
        <v>51015</v>
      </c>
      <c r="H40" s="79" t="n"/>
      <c r="I40" s="69" t="n"/>
      <c r="J40" s="103" t="n"/>
      <c r="K40" s="122" t="n">
        <v>25.741</v>
      </c>
      <c r="L40" s="122" t="inlineStr">
        <is>
          <t>ROGER QUISPE MIRANDA</t>
        </is>
      </c>
      <c r="M40" s="86" t="inlineStr">
        <is>
          <t>ALFREDO SANDI</t>
        </is>
      </c>
      <c r="N40" s="58" t="inlineStr">
        <is>
          <t>2343 EKE</t>
        </is>
      </c>
      <c r="O40" s="73">
        <f>+O39+1</f>
        <v/>
      </c>
      <c r="P40" s="88" t="n">
        <v>170</v>
      </c>
      <c r="Q40" s="52" t="n"/>
      <c r="R40" s="22" t="n"/>
      <c r="S40" s="45" t="n"/>
      <c r="T40" s="47" t="n"/>
      <c r="U40" s="77" t="n"/>
      <c r="V40" s="77" t="n"/>
      <c r="W40" s="77" t="n"/>
      <c r="X40" s="77" t="n"/>
      <c r="Y40" s="69" t="n"/>
    </row>
    <row r="41" ht="15.75" customHeight="1">
      <c r="A41" s="56" t="n">
        <v>35</v>
      </c>
      <c r="B41" s="80" t="n">
        <v>46297</v>
      </c>
      <c r="C41" s="117" t="inlineStr">
        <is>
          <t>35/10</t>
        </is>
      </c>
      <c r="D41" s="118" t="n">
        <v>218464</v>
      </c>
      <c r="E41" s="103" t="n">
        <v>23.224</v>
      </c>
      <c r="F41" s="119" t="inlineStr">
        <is>
          <t>SAN PABLO</t>
        </is>
      </c>
      <c r="G41" s="120" t="n">
        <v>51015</v>
      </c>
      <c r="H41" s="79" t="n"/>
      <c r="I41" s="69" t="n"/>
      <c r="J41" s="103" t="n"/>
      <c r="K41" s="122" t="n">
        <v>23.224</v>
      </c>
      <c r="L41" s="122" t="inlineStr">
        <is>
          <t>ROGER QUISPE MIRANDA</t>
        </is>
      </c>
      <c r="M41" s="86" t="inlineStr">
        <is>
          <t>MARCO SANDI</t>
        </is>
      </c>
      <c r="N41" s="58" t="inlineStr">
        <is>
          <t>1264 FYT</t>
        </is>
      </c>
      <c r="O41" s="73">
        <f>+O40+1</f>
        <v/>
      </c>
      <c r="P41" s="88" t="n">
        <v>170</v>
      </c>
      <c r="Q41" s="51" t="n"/>
      <c r="R41" s="22" t="n"/>
      <c r="S41" s="45" t="n"/>
      <c r="T41" s="47" t="n"/>
      <c r="U41" s="77" t="n"/>
      <c r="V41" s="77" t="n"/>
      <c r="W41" s="77" t="n"/>
      <c r="X41" s="77" t="n"/>
      <c r="Y41" s="69" t="n"/>
    </row>
    <row r="42" ht="15.75" customHeight="1">
      <c r="A42" s="56" t="n">
        <v>36</v>
      </c>
      <c r="B42" s="80" t="n">
        <v>46297</v>
      </c>
      <c r="C42" s="117" t="inlineStr">
        <is>
          <t>36/10</t>
        </is>
      </c>
      <c r="D42" s="118" t="n">
        <v>218465</v>
      </c>
      <c r="E42" s="103" t="n">
        <v>22.271</v>
      </c>
      <c r="F42" s="119" t="inlineStr">
        <is>
          <t>SAN PABLO</t>
        </is>
      </c>
      <c r="G42" s="120" t="n">
        <v>51015</v>
      </c>
      <c r="H42" s="79" t="n"/>
      <c r="I42" s="69" t="n"/>
      <c r="J42" s="103" t="n"/>
      <c r="K42" s="122" t="n">
        <v>22.271</v>
      </c>
      <c r="L42" s="122" t="inlineStr">
        <is>
          <t>ROGER QUISPE MIRANDA</t>
        </is>
      </c>
      <c r="M42" s="86" t="inlineStr">
        <is>
          <t>IVER MURILLO</t>
        </is>
      </c>
      <c r="N42" s="58" t="inlineStr">
        <is>
          <t>1190 ITF</t>
        </is>
      </c>
      <c r="O42" s="73">
        <f>+O41+1</f>
        <v/>
      </c>
      <c r="P42" s="88" t="n">
        <v>170</v>
      </c>
      <c r="Q42" s="52" t="n"/>
      <c r="R42" s="22" t="n"/>
      <c r="S42" s="45" t="n"/>
      <c r="T42" s="47" t="n"/>
      <c r="U42" s="77" t="n"/>
      <c r="V42" s="77" t="n"/>
      <c r="W42" s="77" t="n"/>
      <c r="X42" s="69" t="n"/>
      <c r="Y42" s="77" t="n"/>
    </row>
    <row r="43" ht="18" customHeight="1">
      <c r="A43" s="56" t="n">
        <v>37</v>
      </c>
      <c r="B43" s="80" t="n">
        <v>46297</v>
      </c>
      <c r="C43" s="117" t="inlineStr">
        <is>
          <t>37/10</t>
        </is>
      </c>
      <c r="D43" s="118" t="n">
        <v>218466</v>
      </c>
      <c r="E43" s="104" t="n">
        <v>26.127</v>
      </c>
      <c r="F43" s="119" t="inlineStr">
        <is>
          <t>SAN PABLO</t>
        </is>
      </c>
      <c r="G43" s="120" t="n">
        <v>51015</v>
      </c>
      <c r="H43" s="79" t="n"/>
      <c r="I43" s="69" t="n"/>
      <c r="J43" s="103" t="n"/>
      <c r="K43" s="122" t="n">
        <v>26.127</v>
      </c>
      <c r="L43" s="122" t="inlineStr">
        <is>
          <t>ROGER QUISPE MIRANDA</t>
        </is>
      </c>
      <c r="M43" s="59" t="inlineStr">
        <is>
          <t>MARVIN RAMOS</t>
        </is>
      </c>
      <c r="N43" s="57" t="inlineStr">
        <is>
          <t>2075 ZFB</t>
        </is>
      </c>
      <c r="O43" s="73">
        <f>+O42+1</f>
        <v/>
      </c>
      <c r="P43" s="88" t="n">
        <v>170</v>
      </c>
      <c r="Q43" s="51" t="n"/>
      <c r="R43" s="22" t="n"/>
      <c r="S43" s="45" t="n"/>
      <c r="T43" s="47" t="n"/>
      <c r="U43" s="77" t="n"/>
      <c r="V43" s="77" t="n"/>
      <c r="W43" s="77" t="n"/>
      <c r="X43" s="69" t="n"/>
      <c r="Y43" s="77" t="n"/>
    </row>
    <row r="44" ht="15.75" customHeight="1">
      <c r="A44" s="56" t="n">
        <v>38</v>
      </c>
      <c r="B44" s="80" t="n">
        <v>46297</v>
      </c>
      <c r="C44" s="117" t="inlineStr">
        <is>
          <t>38/10</t>
        </is>
      </c>
      <c r="D44" s="118" t="n">
        <v>218467</v>
      </c>
      <c r="E44" s="104" t="n">
        <v>27.24</v>
      </c>
      <c r="F44" s="119" t="inlineStr">
        <is>
          <t>SAN PABLO</t>
        </is>
      </c>
      <c r="G44" s="120" t="n">
        <v>51015</v>
      </c>
      <c r="H44" s="79" t="n"/>
      <c r="I44" s="69" t="n"/>
      <c r="J44" s="103" t="n"/>
      <c r="K44" s="122" t="n">
        <v>27.42</v>
      </c>
      <c r="L44" s="122" t="inlineStr">
        <is>
          <t>ROGER QUISPE MIRANDA</t>
        </is>
      </c>
      <c r="M44" s="59" t="inlineStr">
        <is>
          <t>FELIX VASQUEZ</t>
        </is>
      </c>
      <c r="N44" s="57" t="inlineStr">
        <is>
          <t>1529 HKX</t>
        </is>
      </c>
      <c r="O44" s="73">
        <f>+O43+1</f>
        <v/>
      </c>
      <c r="P44" s="88" t="n">
        <v>170</v>
      </c>
      <c r="Q44" s="52" t="n"/>
      <c r="R44" s="22" t="n"/>
      <c r="S44" s="45" t="n"/>
      <c r="T44" s="47" t="n"/>
      <c r="U44" s="77" t="n"/>
      <c r="V44" s="77" t="n"/>
      <c r="W44" s="77" t="n"/>
      <c r="X44" s="77" t="n"/>
      <c r="Y44" s="69" t="n"/>
    </row>
    <row r="45" ht="15.75" customHeight="1">
      <c r="A45" s="56" t="n">
        <v>39</v>
      </c>
      <c r="B45" s="80" t="n">
        <v>46297</v>
      </c>
      <c r="C45" s="117" t="inlineStr">
        <is>
          <t>39/10</t>
        </is>
      </c>
      <c r="D45" s="118" t="n">
        <v>218468</v>
      </c>
      <c r="E45" s="104" t="n">
        <v>23.723</v>
      </c>
      <c r="F45" s="119" t="inlineStr">
        <is>
          <t>SAN PABLO</t>
        </is>
      </c>
      <c r="G45" s="120" t="n">
        <v>51015</v>
      </c>
      <c r="H45" s="79" t="n"/>
      <c r="I45" s="69" t="n"/>
      <c r="J45" s="103" t="n"/>
      <c r="K45" s="122" t="n">
        <v>23.723</v>
      </c>
      <c r="L45" s="122" t="inlineStr">
        <is>
          <t>ROGER QUISPE MIRANDA</t>
        </is>
      </c>
      <c r="M45" s="59" t="inlineStr">
        <is>
          <t>EDWIN SANDI</t>
        </is>
      </c>
      <c r="N45" s="57" t="inlineStr">
        <is>
          <t>697 NPF</t>
        </is>
      </c>
      <c r="O45" s="73">
        <f>+O44+1</f>
        <v/>
      </c>
      <c r="P45" s="88" t="n">
        <v>170</v>
      </c>
      <c r="Q45" s="51" t="n"/>
      <c r="R45" s="22" t="n"/>
      <c r="S45" s="45" t="n"/>
      <c r="T45" s="47" t="n"/>
      <c r="U45" s="77" t="n"/>
      <c r="V45" s="77" t="n"/>
      <c r="W45" s="77" t="n"/>
      <c r="X45" s="77" t="n"/>
      <c r="Y45" s="69" t="n"/>
    </row>
    <row r="46" ht="15.75" customHeight="1">
      <c r="A46" s="56" t="n">
        <v>40</v>
      </c>
      <c r="B46" s="80" t="n">
        <v>46297</v>
      </c>
      <c r="C46" s="117" t="inlineStr">
        <is>
          <t>40/10</t>
        </is>
      </c>
      <c r="D46" s="118" t="n">
        <v>218469</v>
      </c>
      <c r="E46" s="104" t="n">
        <v>25.016</v>
      </c>
      <c r="F46" s="119" t="inlineStr">
        <is>
          <t>SAN PABLO</t>
        </is>
      </c>
      <c r="G46" s="120" t="n">
        <v>51015</v>
      </c>
      <c r="H46" s="79" t="n"/>
      <c r="I46" s="69" t="n"/>
      <c r="J46" s="103" t="n"/>
      <c r="K46" s="122" t="n">
        <v>25.016</v>
      </c>
      <c r="L46" s="122" t="inlineStr">
        <is>
          <t>ROGER QUISPE MIRANDA</t>
        </is>
      </c>
      <c r="M46" s="87" t="inlineStr">
        <is>
          <t>WALTER CHOQUE</t>
        </is>
      </c>
      <c r="N46" s="57" t="inlineStr">
        <is>
          <t>598 ULI</t>
        </is>
      </c>
      <c r="O46" s="73">
        <f>+O45+1</f>
        <v/>
      </c>
      <c r="P46" s="88" t="n">
        <v>170</v>
      </c>
      <c r="Q46" s="52" t="n"/>
      <c r="R46" s="22" t="n"/>
      <c r="S46" s="45" t="n"/>
      <c r="T46" s="47" t="n"/>
      <c r="U46" s="77" t="n"/>
      <c r="V46" s="77" t="n"/>
      <c r="W46" s="77" t="n"/>
      <c r="X46" s="69" t="n"/>
      <c r="Y46" s="77" t="n"/>
    </row>
    <row r="47" ht="15.75" customHeight="1">
      <c r="A47" s="56" t="n">
        <v>41</v>
      </c>
      <c r="B47" s="80" t="n">
        <v>46297</v>
      </c>
      <c r="C47" s="117" t="inlineStr">
        <is>
          <t>41/10</t>
        </is>
      </c>
      <c r="D47" s="118" t="n">
        <v>218470</v>
      </c>
      <c r="E47" s="104" t="n">
        <v>23.814</v>
      </c>
      <c r="F47" s="119" t="inlineStr">
        <is>
          <t>SAN PABLO</t>
        </is>
      </c>
      <c r="G47" s="120" t="n">
        <v>51015</v>
      </c>
      <c r="H47" s="79" t="n"/>
      <c r="I47" s="69" t="n"/>
      <c r="J47" s="103" t="n"/>
      <c r="K47" s="122" t="n">
        <v>23.814</v>
      </c>
      <c r="L47" s="122" t="inlineStr">
        <is>
          <t>ROGER QUISPE MIRANDA</t>
        </is>
      </c>
      <c r="M47" s="59" t="inlineStr">
        <is>
          <t>VICENTE SAAVEDRA</t>
        </is>
      </c>
      <c r="N47" s="60" t="inlineStr">
        <is>
          <t>1447 TKH</t>
        </is>
      </c>
      <c r="O47" s="73">
        <f>+O46+1</f>
        <v/>
      </c>
      <c r="P47" s="88" t="n">
        <v>170</v>
      </c>
      <c r="Q47" s="51" t="n"/>
      <c r="R47" s="22" t="n"/>
      <c r="S47" s="45" t="n"/>
      <c r="T47" s="47" t="n"/>
      <c r="U47" s="77" t="n"/>
      <c r="V47" s="77" t="n"/>
      <c r="W47" s="77" t="n"/>
      <c r="X47" s="77" t="n"/>
      <c r="Y47" s="77" t="n"/>
    </row>
    <row r="48" ht="15.75" customHeight="1">
      <c r="A48" s="56" t="n">
        <v>42</v>
      </c>
      <c r="B48" s="80" t="n">
        <v>46297</v>
      </c>
      <c r="C48" s="117" t="inlineStr">
        <is>
          <t>42/10</t>
        </is>
      </c>
      <c r="D48" s="118" t="n">
        <v>218471</v>
      </c>
      <c r="E48" s="104" t="n">
        <v>21.024</v>
      </c>
      <c r="F48" s="119" t="inlineStr">
        <is>
          <t>SAN PABLO</t>
        </is>
      </c>
      <c r="G48" s="120" t="n">
        <v>51015</v>
      </c>
      <c r="H48" s="79" t="n"/>
      <c r="I48" s="69" t="n"/>
      <c r="J48" s="103" t="n"/>
      <c r="K48" s="122" t="n">
        <v>21.024</v>
      </c>
      <c r="L48" s="122" t="inlineStr">
        <is>
          <t>ROGER QUISPE MIRANDA</t>
        </is>
      </c>
      <c r="M48" s="59" t="inlineStr">
        <is>
          <t>FELIPE ROJAS</t>
        </is>
      </c>
      <c r="N48" s="61" t="inlineStr">
        <is>
          <t>826 UUT</t>
        </is>
      </c>
      <c r="O48" s="73">
        <f>+O47+1</f>
        <v/>
      </c>
      <c r="P48" s="88" t="n">
        <v>170</v>
      </c>
      <c r="Q48" s="52" t="n"/>
      <c r="R48" s="22" t="n"/>
      <c r="S48" s="45" t="n"/>
      <c r="T48" s="47" t="n"/>
      <c r="U48" s="77" t="n"/>
      <c r="V48" s="77" t="n"/>
      <c r="W48" s="77" t="n"/>
      <c r="X48" s="69" t="n"/>
      <c r="Y48" s="77" t="n"/>
    </row>
    <row r="49" ht="15.75" customHeight="1">
      <c r="A49" s="56" t="n">
        <v>43</v>
      </c>
      <c r="B49" s="80" t="n">
        <v>46300</v>
      </c>
      <c r="C49" s="117" t="inlineStr">
        <is>
          <t>43/10</t>
        </is>
      </c>
      <c r="D49" s="118" t="n">
        <v>218472</v>
      </c>
      <c r="E49" s="104" t="n">
        <v>26.694</v>
      </c>
      <c r="F49" s="119" t="inlineStr">
        <is>
          <t>MOJINETE</t>
        </is>
      </c>
      <c r="G49" s="120" t="n">
        <v>51028</v>
      </c>
      <c r="H49" s="79" t="n"/>
      <c r="I49" s="69" t="n">
        <v>26.694</v>
      </c>
      <c r="J49" s="103" t="n"/>
      <c r="K49" s="122" t="n"/>
      <c r="L49" s="122" t="inlineStr">
        <is>
          <t>EMUSA</t>
        </is>
      </c>
      <c r="M49" s="74" t="inlineStr">
        <is>
          <t>WILFREDO TICONA</t>
        </is>
      </c>
      <c r="N49" s="72" t="inlineStr">
        <is>
          <t>6480 DBB</t>
        </is>
      </c>
      <c r="O49" s="73">
        <f>+O48+1</f>
        <v/>
      </c>
      <c r="Q49" s="51" t="n"/>
      <c r="R49" s="22" t="n"/>
      <c r="S49" s="45" t="n"/>
      <c r="T49" s="47" t="n"/>
      <c r="U49" s="77" t="n"/>
      <c r="V49" s="77" t="n"/>
      <c r="W49" s="77" t="n"/>
      <c r="X49" s="77" t="n"/>
      <c r="Y49" s="77" t="n"/>
    </row>
    <row r="50" ht="15.75" customHeight="1">
      <c r="A50" s="56" t="n">
        <v>44</v>
      </c>
      <c r="B50" s="80" t="n">
        <v>46300</v>
      </c>
      <c r="C50" s="117" t="inlineStr">
        <is>
          <t>44/10</t>
        </is>
      </c>
      <c r="D50" s="118" t="n">
        <v>218473</v>
      </c>
      <c r="E50" s="104" t="n">
        <v>24.902</v>
      </c>
      <c r="F50" s="119" t="inlineStr">
        <is>
          <t>MOJINETE</t>
        </is>
      </c>
      <c r="G50" s="120" t="n">
        <v>51028</v>
      </c>
      <c r="H50" s="79" t="n"/>
      <c r="I50" s="69" t="n">
        <v>24.902</v>
      </c>
      <c r="J50" s="103" t="n"/>
      <c r="K50" s="122" t="n"/>
      <c r="L50" s="122" t="inlineStr">
        <is>
          <t>EMUSA</t>
        </is>
      </c>
      <c r="M50" s="74" t="inlineStr">
        <is>
          <t>OVIDIO RAMOS</t>
        </is>
      </c>
      <c r="N50" s="72" t="inlineStr">
        <is>
          <t>6480 DDH</t>
        </is>
      </c>
      <c r="O50" s="73">
        <f>+O49+1</f>
        <v/>
      </c>
      <c r="Q50" s="52" t="n"/>
      <c r="R50" s="22" t="n"/>
      <c r="S50" s="45" t="n"/>
      <c r="T50" s="47" t="n"/>
      <c r="U50" s="77" t="n"/>
      <c r="V50" s="69" t="n"/>
      <c r="W50" s="77" t="n"/>
      <c r="X50" s="77" t="n"/>
      <c r="Y50" s="77" t="n"/>
    </row>
    <row r="51" ht="15.75" customHeight="1">
      <c r="A51" s="56" t="n">
        <v>45</v>
      </c>
      <c r="B51" s="80" t="n">
        <v>46300</v>
      </c>
      <c r="C51" s="117" t="inlineStr">
        <is>
          <t>45/10</t>
        </is>
      </c>
      <c r="D51" s="118" t="n">
        <v>218474</v>
      </c>
      <c r="E51" s="104" t="n">
        <v>26.671</v>
      </c>
      <c r="F51" s="119" t="inlineStr">
        <is>
          <t>MOJINETE</t>
        </is>
      </c>
      <c r="G51" s="120" t="n">
        <v>51028</v>
      </c>
      <c r="H51" s="79" t="n"/>
      <c r="I51" s="69" t="n">
        <v>26.671</v>
      </c>
      <c r="J51" s="103" t="n"/>
      <c r="K51" s="122" t="n"/>
      <c r="L51" s="122" t="inlineStr">
        <is>
          <t>EMUSA</t>
        </is>
      </c>
      <c r="M51" s="90" t="inlineStr">
        <is>
          <t>SIMON CRUZ</t>
        </is>
      </c>
      <c r="N51" s="76" t="inlineStr">
        <is>
          <t>6422 LZD</t>
        </is>
      </c>
      <c r="O51" s="73">
        <f>+O50+1</f>
        <v/>
      </c>
      <c r="Q51" s="51" t="n"/>
      <c r="R51" s="22" t="n"/>
      <c r="S51" s="45" t="n"/>
      <c r="T51" s="47" t="n"/>
      <c r="U51" s="69" t="n"/>
      <c r="V51" s="69" t="n"/>
      <c r="W51" s="77" t="n"/>
      <c r="X51" s="77" t="n"/>
      <c r="Y51" s="77" t="n"/>
    </row>
    <row r="52" ht="15.75" customHeight="1">
      <c r="A52" s="56" t="n">
        <v>46</v>
      </c>
      <c r="B52" s="80" t="n">
        <v>46300</v>
      </c>
      <c r="C52" s="117" t="inlineStr">
        <is>
          <t>46/10</t>
        </is>
      </c>
      <c r="D52" s="118" t="n">
        <v>218492</v>
      </c>
      <c r="E52" s="104" t="n">
        <v>23.904</v>
      </c>
      <c r="F52" s="119" t="inlineStr">
        <is>
          <t>MOJINETE</t>
        </is>
      </c>
      <c r="G52" s="120" t="n">
        <v>51028</v>
      </c>
      <c r="H52" s="79" t="n"/>
      <c r="I52" s="69" t="n">
        <v>23.904</v>
      </c>
      <c r="J52" s="103" t="n"/>
      <c r="K52" s="122" t="n"/>
      <c r="L52" s="122" t="inlineStr">
        <is>
          <t>EMUSA</t>
        </is>
      </c>
      <c r="M52" s="124" t="inlineStr">
        <is>
          <t>JUAN NINA</t>
        </is>
      </c>
      <c r="N52" s="76" t="inlineStr">
        <is>
          <t>6657 DZH</t>
        </is>
      </c>
      <c r="O52" s="73">
        <f>+O51+1</f>
        <v/>
      </c>
      <c r="Q52" s="52" t="n"/>
      <c r="R52" s="22" t="n"/>
      <c r="S52" s="45" t="n"/>
      <c r="T52" s="47" t="n"/>
      <c r="U52" s="77" t="n"/>
      <c r="V52" s="77" t="n"/>
      <c r="W52" s="69" t="n"/>
      <c r="X52" s="77" t="n"/>
      <c r="Y52" s="77" t="n"/>
    </row>
    <row r="53" ht="15.75" customHeight="1">
      <c r="A53" s="56" t="n">
        <v>47</v>
      </c>
      <c r="B53" s="80" t="n">
        <v>46300</v>
      </c>
      <c r="C53" s="117" t="inlineStr">
        <is>
          <t>47/10</t>
        </is>
      </c>
      <c r="D53" s="118" t="n">
        <v>218493</v>
      </c>
      <c r="E53" s="104" t="n">
        <v>23.814</v>
      </c>
      <c r="F53" s="119" t="inlineStr">
        <is>
          <t>MOJINETE</t>
        </is>
      </c>
      <c r="G53" s="120" t="n">
        <v>51028</v>
      </c>
      <c r="H53" s="79" t="n"/>
      <c r="I53" s="69" t="n">
        <v>23.814</v>
      </c>
      <c r="J53" s="103" t="n"/>
      <c r="K53" s="122" t="n"/>
      <c r="L53" s="122" t="inlineStr">
        <is>
          <t>EMUSA</t>
        </is>
      </c>
      <c r="M53" s="124" t="inlineStr">
        <is>
          <t>EDWIN TAPIA</t>
        </is>
      </c>
      <c r="N53" s="76" t="inlineStr">
        <is>
          <t>6657 DYE</t>
        </is>
      </c>
      <c r="O53" s="73">
        <f>+O52+1</f>
        <v/>
      </c>
      <c r="Q53" s="51" t="n"/>
      <c r="R53" s="22" t="n"/>
      <c r="S53" s="45" t="n"/>
      <c r="T53" s="47" t="n"/>
      <c r="U53" s="69" t="n"/>
      <c r="V53" s="77" t="n"/>
      <c r="W53" s="77" t="n"/>
      <c r="X53" s="77" t="n"/>
      <c r="Y53" s="77" t="n"/>
    </row>
    <row r="54" ht="15.75" customHeight="1">
      <c r="A54" s="56" t="n">
        <v>48</v>
      </c>
      <c r="B54" s="80" t="n">
        <v>46300</v>
      </c>
      <c r="C54" s="117" t="inlineStr">
        <is>
          <t>48/10</t>
        </is>
      </c>
      <c r="D54" s="118" t="n">
        <v>218494</v>
      </c>
      <c r="E54" s="104" t="n">
        <v>22.657</v>
      </c>
      <c r="F54" s="119" t="inlineStr">
        <is>
          <t>MOJINETE</t>
        </is>
      </c>
      <c r="G54" s="120" t="n">
        <v>51028</v>
      </c>
      <c r="H54" s="79" t="n"/>
      <c r="I54" s="69" t="n">
        <v>22.657</v>
      </c>
      <c r="J54" s="103" t="n"/>
      <c r="K54" s="122" t="n"/>
      <c r="L54" s="122" t="inlineStr">
        <is>
          <t>MIGUEL TIJRA</t>
        </is>
      </c>
      <c r="M54" s="124" t="inlineStr">
        <is>
          <t>JESUS COPA</t>
        </is>
      </c>
      <c r="N54" s="76" t="inlineStr">
        <is>
          <t>1387 LGH</t>
        </is>
      </c>
      <c r="O54" s="73">
        <f>+O53+1</f>
        <v/>
      </c>
      <c r="P54" t="n">
        <v>150</v>
      </c>
      <c r="Q54" s="51" t="n"/>
      <c r="R54" s="22" t="n"/>
      <c r="S54" s="45" t="n"/>
      <c r="T54" s="47" t="n"/>
      <c r="U54" s="69" t="n"/>
      <c r="V54" s="77" t="n"/>
      <c r="W54" s="77" t="n"/>
      <c r="X54" s="77" t="n"/>
      <c r="Y54" s="77" t="n"/>
    </row>
    <row r="55" ht="15.75" customHeight="1">
      <c r="A55" s="56" t="n">
        <v>49</v>
      </c>
      <c r="B55" s="80" t="n">
        <v>46300</v>
      </c>
      <c r="C55" s="117" t="inlineStr">
        <is>
          <t>49/10</t>
        </is>
      </c>
      <c r="D55" s="118" t="n">
        <v>218495</v>
      </c>
      <c r="E55" s="104" t="n">
        <v>22.204</v>
      </c>
      <c r="F55" s="119" t="inlineStr">
        <is>
          <t>MOJINETE</t>
        </is>
      </c>
      <c r="G55" s="120" t="n">
        <v>51028</v>
      </c>
      <c r="H55" s="79" t="n"/>
      <c r="I55" s="69" t="n">
        <v>22.203</v>
      </c>
      <c r="J55" s="103" t="n"/>
      <c r="K55" s="122" t="n"/>
      <c r="L55" s="122" t="inlineStr">
        <is>
          <t>MIGUEL TIJRA</t>
        </is>
      </c>
      <c r="M55" s="124" t="inlineStr">
        <is>
          <t>WILFREDO ARUQUIPA</t>
        </is>
      </c>
      <c r="N55" s="76" t="inlineStr">
        <is>
          <t>1630 UGE</t>
        </is>
      </c>
      <c r="O55" s="73">
        <f>+O54+1</f>
        <v/>
      </c>
      <c r="P55" t="n">
        <v>150</v>
      </c>
      <c r="Q55" s="51" t="n"/>
      <c r="R55" s="22" t="n"/>
      <c r="S55" s="45" t="n"/>
      <c r="T55" s="47" t="n"/>
      <c r="U55" s="69" t="n"/>
      <c r="V55" s="77" t="n"/>
      <c r="W55" s="77" t="n"/>
      <c r="X55" s="77" t="n"/>
      <c r="Y55" s="77" t="n"/>
    </row>
    <row r="56" ht="15.75" customHeight="1">
      <c r="A56" s="56" t="n">
        <v>50</v>
      </c>
      <c r="B56" s="80" t="n">
        <v>46300</v>
      </c>
      <c r="C56" s="117" t="inlineStr">
        <is>
          <t>50/10</t>
        </is>
      </c>
      <c r="D56" s="118" t="n">
        <v>218479</v>
      </c>
      <c r="E56" s="104" t="n">
        <v>26.082</v>
      </c>
      <c r="F56" s="119" t="inlineStr">
        <is>
          <t>SAN PABLO</t>
        </is>
      </c>
      <c r="G56" s="120" t="n">
        <v>51015</v>
      </c>
      <c r="H56" s="121" t="n"/>
      <c r="I56" s="77" t="n"/>
      <c r="J56" s="103" t="n"/>
      <c r="K56" s="122" t="n">
        <v>26.082</v>
      </c>
      <c r="L56" s="78" t="inlineStr">
        <is>
          <t>ROGER QUISPE MIRANDA</t>
        </is>
      </c>
      <c r="M56" s="86" t="inlineStr">
        <is>
          <t>MIGUEL SANDI</t>
        </is>
      </c>
      <c r="N56" s="58" t="inlineStr">
        <is>
          <t>2824 TEE</t>
        </is>
      </c>
      <c r="O56" s="73">
        <f>+O55+1</f>
        <v/>
      </c>
      <c r="P56" t="n">
        <v>340</v>
      </c>
      <c r="Q56" s="51" t="n"/>
      <c r="R56" s="22" t="n"/>
      <c r="S56" s="45" t="n"/>
      <c r="T56" s="47" t="n"/>
      <c r="U56" s="69" t="n"/>
      <c r="V56" s="77" t="n"/>
      <c r="W56" s="77" t="n"/>
      <c r="X56" s="69">
        <f>+E56</f>
        <v/>
      </c>
      <c r="Y56" s="69" t="n"/>
    </row>
    <row r="57" ht="15.75" customHeight="1">
      <c r="A57" s="56" t="n">
        <v>51</v>
      </c>
      <c r="B57" s="80" t="n">
        <v>46300</v>
      </c>
      <c r="C57" s="117" t="inlineStr">
        <is>
          <t>51/10</t>
        </is>
      </c>
      <c r="D57" s="118" t="n">
        <v>218480</v>
      </c>
      <c r="E57" s="104" t="n">
        <v>25.968</v>
      </c>
      <c r="F57" s="119" t="inlineStr">
        <is>
          <t>SAN PABLO</t>
        </is>
      </c>
      <c r="G57" s="120" t="n">
        <v>51015</v>
      </c>
      <c r="H57" s="121" t="n"/>
      <c r="I57" s="77" t="n"/>
      <c r="J57" s="103" t="n"/>
      <c r="K57" s="122" t="n">
        <v>25.968</v>
      </c>
      <c r="L57" s="78" t="inlineStr">
        <is>
          <t>ROGER QUISPE MIRANDA</t>
        </is>
      </c>
      <c r="M57" s="86" t="inlineStr">
        <is>
          <t>FERNANDO SANDI</t>
        </is>
      </c>
      <c r="N57" s="58" t="inlineStr">
        <is>
          <t>1497 DYL</t>
        </is>
      </c>
      <c r="O57" s="73">
        <f>+O56+1</f>
        <v/>
      </c>
      <c r="P57" t="n">
        <v>340</v>
      </c>
      <c r="Q57" s="51" t="n"/>
      <c r="R57" s="22" t="n"/>
      <c r="S57" s="45" t="n"/>
      <c r="T57" s="47" t="n"/>
      <c r="U57" s="69" t="n"/>
      <c r="V57" s="77" t="n"/>
      <c r="W57" s="77" t="n"/>
      <c r="X57" s="77" t="n"/>
      <c r="Y57" s="69">
        <f>+E57</f>
        <v/>
      </c>
    </row>
    <row r="58" ht="15.75" customHeight="1">
      <c r="A58" s="56" t="n">
        <v>52</v>
      </c>
      <c r="B58" s="80" t="n">
        <v>46300</v>
      </c>
      <c r="C58" s="117" t="inlineStr">
        <is>
          <t>52/10</t>
        </is>
      </c>
      <c r="D58" s="118" t="n">
        <v>218481</v>
      </c>
      <c r="E58" s="104" t="n">
        <v>26.853</v>
      </c>
      <c r="F58" s="119" t="inlineStr">
        <is>
          <t>SAN PABLO</t>
        </is>
      </c>
      <c r="G58" s="120" t="n">
        <v>51015</v>
      </c>
      <c r="H58" s="121" t="n"/>
      <c r="I58" s="77" t="n"/>
      <c r="J58" s="103" t="n"/>
      <c r="K58" s="122" t="n">
        <v>26.853</v>
      </c>
      <c r="L58" s="78" t="inlineStr">
        <is>
          <t>ROGER QUISPE MIRANDA</t>
        </is>
      </c>
      <c r="M58" s="86" t="inlineStr">
        <is>
          <t>EDGAR SANDI</t>
        </is>
      </c>
      <c r="N58" s="58" t="inlineStr">
        <is>
          <t>1117 LSA</t>
        </is>
      </c>
      <c r="O58" s="73">
        <f>+O57+1</f>
        <v/>
      </c>
      <c r="P58" t="n">
        <v>340</v>
      </c>
      <c r="Q58" s="51" t="n"/>
      <c r="R58" s="22" t="n"/>
      <c r="S58" s="45" t="n"/>
      <c r="T58" s="47" t="n"/>
      <c r="U58" s="69" t="n"/>
      <c r="V58" s="77" t="n"/>
      <c r="W58" s="77" t="n"/>
      <c r="X58" s="77" t="n"/>
      <c r="Y58" s="77" t="n"/>
    </row>
    <row r="59" ht="15.75" customHeight="1">
      <c r="A59" s="56" t="n">
        <v>53</v>
      </c>
      <c r="B59" s="80" t="n">
        <v>46300</v>
      </c>
      <c r="C59" s="117" t="inlineStr">
        <is>
          <t>53/10</t>
        </is>
      </c>
      <c r="D59" s="118" t="n">
        <v>218482</v>
      </c>
      <c r="E59" s="104" t="n">
        <v>25.152</v>
      </c>
      <c r="F59" s="119" t="inlineStr">
        <is>
          <t>SAN PABLO</t>
        </is>
      </c>
      <c r="G59" s="120" t="n">
        <v>51015</v>
      </c>
      <c r="H59" s="121" t="n"/>
      <c r="I59" s="77" t="n"/>
      <c r="J59" s="103" t="n"/>
      <c r="K59" s="122" t="n">
        <v>25.152</v>
      </c>
      <c r="L59" s="78" t="inlineStr">
        <is>
          <t>ROGER QUISPE MIRANDA</t>
        </is>
      </c>
      <c r="M59" s="86" t="inlineStr">
        <is>
          <t>ALFREDO SANDI</t>
        </is>
      </c>
      <c r="N59" s="58" t="inlineStr">
        <is>
          <t>2343 EKE</t>
        </is>
      </c>
      <c r="O59" s="73">
        <f>+O58+1</f>
        <v/>
      </c>
      <c r="P59" t="n">
        <v>340</v>
      </c>
      <c r="Q59" s="51" t="n"/>
      <c r="R59" s="22" t="n"/>
      <c r="S59" s="45" t="n"/>
      <c r="T59" s="47" t="n"/>
      <c r="U59" s="69" t="n"/>
      <c r="V59" s="77" t="n"/>
      <c r="W59" s="77" t="n"/>
      <c r="X59" s="77" t="n"/>
      <c r="Y59" s="77" t="n"/>
    </row>
    <row r="60" ht="15.75" customHeight="1">
      <c r="A60" s="56" t="n">
        <v>54</v>
      </c>
      <c r="B60" s="80" t="n">
        <v>46300</v>
      </c>
      <c r="C60" s="117" t="inlineStr">
        <is>
          <t>54/10</t>
        </is>
      </c>
      <c r="D60" s="118" t="n">
        <v>218483</v>
      </c>
      <c r="E60" s="104" t="n">
        <v>24.562</v>
      </c>
      <c r="F60" s="119" t="inlineStr">
        <is>
          <t>SAN PABLO</t>
        </is>
      </c>
      <c r="G60" s="120" t="n">
        <v>51015</v>
      </c>
      <c r="H60" s="121" t="n"/>
      <c r="I60" s="77" t="n"/>
      <c r="J60" s="103" t="n"/>
      <c r="K60" s="122" t="n">
        <v>24.562</v>
      </c>
      <c r="L60" s="78" t="inlineStr">
        <is>
          <t>ROGER QUISPE MIRANDA</t>
        </is>
      </c>
      <c r="M60" s="86" t="inlineStr">
        <is>
          <t>MARCO SANDI</t>
        </is>
      </c>
      <c r="N60" s="58" t="inlineStr">
        <is>
          <t>1264 FYT</t>
        </is>
      </c>
      <c r="O60" s="73">
        <f>+O59+1</f>
        <v/>
      </c>
      <c r="P60" t="n">
        <v>340</v>
      </c>
      <c r="Q60" s="51" t="n"/>
      <c r="R60" s="22" t="n"/>
      <c r="S60" s="45" t="n"/>
      <c r="T60" s="47" t="n"/>
      <c r="U60" s="69" t="n"/>
      <c r="V60" s="77" t="n"/>
      <c r="W60" s="77" t="n"/>
      <c r="X60" s="77" t="n"/>
      <c r="Y60" s="77" t="n"/>
    </row>
    <row r="61" ht="15.75" customHeight="1">
      <c r="A61" s="56" t="n">
        <v>55</v>
      </c>
      <c r="B61" s="80" t="n">
        <v>46300</v>
      </c>
      <c r="C61" s="117" t="inlineStr">
        <is>
          <t>55/10</t>
        </is>
      </c>
      <c r="D61" s="118" t="n">
        <v>218484</v>
      </c>
      <c r="E61" s="104" t="n">
        <v>25.787</v>
      </c>
      <c r="F61" s="119" t="inlineStr">
        <is>
          <t>SAN PABLO</t>
        </is>
      </c>
      <c r="G61" s="120" t="n">
        <v>51015</v>
      </c>
      <c r="H61" s="121" t="n"/>
      <c r="I61" s="77" t="n"/>
      <c r="J61" s="103" t="n"/>
      <c r="K61" s="122" t="n">
        <v>25.787</v>
      </c>
      <c r="L61" s="78" t="inlineStr">
        <is>
          <t>ROGER QUISPE MIRANDA</t>
        </is>
      </c>
      <c r="M61" s="86" t="inlineStr">
        <is>
          <t>IVER MURILLO</t>
        </is>
      </c>
      <c r="N61" s="58" t="inlineStr">
        <is>
          <t>1190 ITF</t>
        </is>
      </c>
      <c r="O61" s="73">
        <f>+O60+1</f>
        <v/>
      </c>
      <c r="P61" t="n">
        <v>340</v>
      </c>
      <c r="Q61" s="51" t="n"/>
      <c r="R61" s="22" t="n"/>
      <c r="S61" s="45" t="n"/>
      <c r="T61" s="47" t="n"/>
      <c r="U61" s="69" t="n"/>
      <c r="V61" s="77" t="n"/>
      <c r="W61" s="77" t="n"/>
      <c r="X61" s="77" t="n"/>
      <c r="Y61" s="77" t="n"/>
    </row>
    <row r="62" ht="15.75" customHeight="1">
      <c r="A62" s="56" t="n">
        <v>56</v>
      </c>
      <c r="B62" s="80" t="n">
        <v>46300</v>
      </c>
      <c r="C62" s="117" t="inlineStr">
        <is>
          <t>56/10</t>
        </is>
      </c>
      <c r="D62" s="118" t="n">
        <v>218485</v>
      </c>
      <c r="E62" s="104" t="n">
        <v>23.95</v>
      </c>
      <c r="F62" s="119" t="inlineStr">
        <is>
          <t>SAN PABLO</t>
        </is>
      </c>
      <c r="G62" s="120" t="n">
        <v>51015</v>
      </c>
      <c r="H62" s="121" t="n"/>
      <c r="I62" s="77" t="n"/>
      <c r="J62" s="103" t="n"/>
      <c r="K62" s="122" t="n">
        <v>23.95</v>
      </c>
      <c r="L62" s="78" t="inlineStr">
        <is>
          <t>ROGER QUISPE MIRANDA</t>
        </is>
      </c>
      <c r="M62" s="59" t="inlineStr">
        <is>
          <t>MARVIN RAMOS</t>
        </is>
      </c>
      <c r="N62" s="57" t="inlineStr">
        <is>
          <t>2075 ZFB</t>
        </is>
      </c>
      <c r="O62" s="73">
        <f>+O61+1</f>
        <v/>
      </c>
      <c r="P62" t="n">
        <v>340</v>
      </c>
      <c r="Q62" s="51" t="n"/>
      <c r="R62" s="22" t="n"/>
      <c r="S62" s="45" t="n"/>
      <c r="T62" s="47" t="n"/>
      <c r="U62" s="69" t="n"/>
      <c r="V62" s="77" t="n"/>
      <c r="W62" s="77" t="n"/>
      <c r="X62" s="77" t="n"/>
      <c r="Y62" s="77" t="n"/>
    </row>
    <row r="63" ht="15.75" customHeight="1">
      <c r="A63" s="56" t="n">
        <v>57</v>
      </c>
      <c r="B63" s="80" t="n">
        <v>46300</v>
      </c>
      <c r="C63" s="117" t="inlineStr">
        <is>
          <t>57/10</t>
        </is>
      </c>
      <c r="D63" s="118" t="n">
        <v>218486</v>
      </c>
      <c r="E63" s="104" t="n">
        <v>26.694</v>
      </c>
      <c r="F63" s="119" t="inlineStr">
        <is>
          <t>SAN PABLO</t>
        </is>
      </c>
      <c r="G63" s="120" t="n">
        <v>51015</v>
      </c>
      <c r="H63" s="121" t="n"/>
      <c r="I63" s="77" t="n"/>
      <c r="J63" s="103" t="n"/>
      <c r="K63" s="122" t="n">
        <v>26.694</v>
      </c>
      <c r="L63" s="78" t="inlineStr">
        <is>
          <t>ROGER QUISPE MIRANDA</t>
        </is>
      </c>
      <c r="M63" s="59" t="inlineStr">
        <is>
          <t>FELIX VASQUEZ</t>
        </is>
      </c>
      <c r="N63" s="57" t="inlineStr">
        <is>
          <t>1529 HKX</t>
        </is>
      </c>
      <c r="O63" s="73">
        <f>+O62+1</f>
        <v/>
      </c>
      <c r="P63" t="n">
        <v>340</v>
      </c>
      <c r="Q63" s="51" t="n"/>
      <c r="R63" s="22" t="n"/>
      <c r="S63" s="45" t="n"/>
      <c r="T63" s="47" t="n"/>
      <c r="U63" s="69" t="n"/>
      <c r="V63" s="77" t="n"/>
      <c r="W63" s="77" t="n"/>
      <c r="X63" s="77" t="n"/>
      <c r="Y63" s="77" t="n"/>
    </row>
    <row r="64" ht="15.75" customHeight="1">
      <c r="A64" s="56" t="n">
        <v>58</v>
      </c>
      <c r="B64" s="80" t="n">
        <v>46300</v>
      </c>
      <c r="C64" s="117" t="inlineStr">
        <is>
          <t>58/10</t>
        </is>
      </c>
      <c r="D64" s="118" t="n">
        <v>218487</v>
      </c>
      <c r="E64" s="104" t="n">
        <v>25.628</v>
      </c>
      <c r="F64" s="119" t="inlineStr">
        <is>
          <t>SAN PABLO</t>
        </is>
      </c>
      <c r="G64" s="120" t="n">
        <v>51015</v>
      </c>
      <c r="H64" s="121" t="n"/>
      <c r="I64" s="77" t="n"/>
      <c r="J64" s="103" t="n"/>
      <c r="K64" s="122" t="n">
        <v>25.628</v>
      </c>
      <c r="L64" s="78" t="inlineStr">
        <is>
          <t>ROGER QUISPE MIRANDA</t>
        </is>
      </c>
      <c r="M64" s="59" t="inlineStr">
        <is>
          <t>EDWIN SANDI</t>
        </is>
      </c>
      <c r="N64" s="57" t="inlineStr">
        <is>
          <t>697 NPF</t>
        </is>
      </c>
      <c r="O64" s="73">
        <f>+O63+1</f>
        <v/>
      </c>
      <c r="P64" t="n">
        <v>340</v>
      </c>
      <c r="Q64" s="51" t="n"/>
      <c r="R64" s="22" t="n"/>
      <c r="S64" s="45" t="n"/>
      <c r="T64" s="47" t="n"/>
      <c r="U64" s="69" t="n"/>
      <c r="V64" s="77" t="n"/>
      <c r="W64" s="77" t="n"/>
      <c r="X64" s="77" t="n"/>
      <c r="Y64" s="77" t="n"/>
    </row>
    <row r="65" ht="15.75" customHeight="1">
      <c r="A65" s="56" t="n">
        <v>59</v>
      </c>
      <c r="B65" s="80" t="n">
        <v>46300</v>
      </c>
      <c r="C65" s="117" t="inlineStr">
        <is>
          <t>59/10</t>
        </is>
      </c>
      <c r="D65" s="118" t="n">
        <v>218488</v>
      </c>
      <c r="E65" s="104" t="n">
        <v>24.743</v>
      </c>
      <c r="F65" s="119" t="inlineStr">
        <is>
          <t>SAN PABLO</t>
        </is>
      </c>
      <c r="G65" s="120" t="n">
        <v>51015</v>
      </c>
      <c r="H65" s="121" t="n"/>
      <c r="I65" s="77" t="n"/>
      <c r="J65" s="103" t="n"/>
      <c r="K65" s="122" t="n">
        <v>24.743</v>
      </c>
      <c r="L65" s="78" t="inlineStr">
        <is>
          <t>ROGER QUISPE MIRANDA</t>
        </is>
      </c>
      <c r="M65" s="87" t="inlineStr">
        <is>
          <t>WALTER CHOQUE</t>
        </is>
      </c>
      <c r="N65" s="57" t="inlineStr">
        <is>
          <t>598 ULI</t>
        </is>
      </c>
      <c r="O65" s="73">
        <f>+O64+1</f>
        <v/>
      </c>
      <c r="P65" t="n">
        <v>340</v>
      </c>
      <c r="Q65" s="51" t="n"/>
      <c r="R65" s="22" t="n"/>
      <c r="S65" s="45" t="n"/>
      <c r="T65" s="47" t="n"/>
      <c r="U65" s="69" t="n"/>
      <c r="V65" s="77" t="n"/>
      <c r="W65" s="77" t="n"/>
      <c r="X65" s="77" t="n"/>
      <c r="Y65" s="77" t="n"/>
    </row>
    <row r="66" ht="15.75" customHeight="1">
      <c r="A66" s="56" t="n">
        <v>60</v>
      </c>
      <c r="B66" s="80" t="n">
        <v>46300</v>
      </c>
      <c r="C66" s="117" t="inlineStr">
        <is>
          <t>60/10</t>
        </is>
      </c>
      <c r="D66" s="118" t="n">
        <v>218489</v>
      </c>
      <c r="E66" s="104" t="n">
        <v>25.9</v>
      </c>
      <c r="F66" s="119" t="inlineStr">
        <is>
          <t>SAN PABLO</t>
        </is>
      </c>
      <c r="G66" s="120" t="n">
        <v>51015</v>
      </c>
      <c r="H66" s="121" t="n"/>
      <c r="I66" s="77" t="n"/>
      <c r="J66" s="103" t="n"/>
      <c r="K66" s="122" t="n">
        <v>25.9</v>
      </c>
      <c r="L66" s="78" t="inlineStr">
        <is>
          <t>ROGER QUISPE MIRANDA</t>
        </is>
      </c>
      <c r="M66" s="59" t="inlineStr">
        <is>
          <t>VICENTE SAAVEDRA</t>
        </is>
      </c>
      <c r="N66" s="60" t="inlineStr">
        <is>
          <t>1447 TKH</t>
        </is>
      </c>
      <c r="O66" s="73">
        <f>+O65+1</f>
        <v/>
      </c>
      <c r="P66" t="n">
        <v>340</v>
      </c>
      <c r="Q66" s="51" t="n"/>
      <c r="R66" s="22" t="n"/>
      <c r="S66" s="45" t="n"/>
      <c r="T66" s="47" t="n"/>
      <c r="U66" s="69" t="n"/>
      <c r="V66" s="77" t="n"/>
      <c r="W66" s="77" t="n"/>
      <c r="X66" s="77" t="n"/>
      <c r="Y66" s="77" t="n"/>
    </row>
    <row r="67" ht="15.75" customHeight="1">
      <c r="A67" s="56" t="n">
        <v>61</v>
      </c>
      <c r="B67" s="80" t="n">
        <v>46300</v>
      </c>
      <c r="C67" s="117" t="inlineStr">
        <is>
          <t>61/10</t>
        </is>
      </c>
      <c r="D67" s="118" t="n">
        <v>218490</v>
      </c>
      <c r="E67" s="104" t="n">
        <v>22.317</v>
      </c>
      <c r="F67" s="119" t="inlineStr">
        <is>
          <t>SAN PABLO</t>
        </is>
      </c>
      <c r="G67" s="120" t="n">
        <v>51015</v>
      </c>
      <c r="H67" s="121" t="n"/>
      <c r="I67" s="77" t="n"/>
      <c r="J67" s="103" t="n"/>
      <c r="K67" s="122" t="n">
        <v>22.317</v>
      </c>
      <c r="L67" s="78" t="inlineStr">
        <is>
          <t>ROGER QUISPE MIRANDA</t>
        </is>
      </c>
      <c r="M67" s="59" t="inlineStr">
        <is>
          <t>FELIPE ROJAS</t>
        </is>
      </c>
      <c r="N67" s="61" t="inlineStr">
        <is>
          <t>826 UUT</t>
        </is>
      </c>
      <c r="O67" s="73">
        <f>+O66+1</f>
        <v/>
      </c>
      <c r="P67" t="n">
        <v>170</v>
      </c>
      <c r="Q67" s="51" t="n"/>
      <c r="R67" s="22" t="n"/>
      <c r="S67" s="45" t="n"/>
      <c r="T67" s="47" t="n"/>
      <c r="U67" s="69" t="n"/>
      <c r="V67" s="77" t="n"/>
      <c r="W67" s="77" t="n"/>
      <c r="X67" s="77" t="n"/>
      <c r="Y67" s="77" t="n"/>
    </row>
    <row r="68" ht="15.75" customHeight="1">
      <c r="A68" s="56" t="n">
        <v>62</v>
      </c>
      <c r="B68" s="80" t="n">
        <v>46300</v>
      </c>
      <c r="C68" s="117" t="inlineStr">
        <is>
          <t>62/10</t>
        </is>
      </c>
      <c r="D68" s="118" t="n">
        <v>218491</v>
      </c>
      <c r="E68" s="104" t="n">
        <v>23.541</v>
      </c>
      <c r="F68" s="119" t="inlineStr">
        <is>
          <t>SAN PABLO</t>
        </is>
      </c>
      <c r="G68" s="120" t="n">
        <v>51015</v>
      </c>
      <c r="H68" s="121" t="n"/>
      <c r="I68" s="77" t="n"/>
      <c r="J68" s="103" t="n"/>
      <c r="K68" s="122" t="n">
        <v>23.541</v>
      </c>
      <c r="L68" s="78" t="inlineStr">
        <is>
          <t>ROGER QUISPE MIRANDA</t>
        </is>
      </c>
      <c r="M68" s="124" t="inlineStr">
        <is>
          <t>FAUSTO IBARRA</t>
        </is>
      </c>
      <c r="N68" s="82" t="inlineStr">
        <is>
          <t>820 NHX</t>
        </is>
      </c>
      <c r="O68" s="73">
        <f>+O67+1</f>
        <v/>
      </c>
      <c r="P68" t="n">
        <v>340</v>
      </c>
      <c r="Q68" s="51" t="n"/>
      <c r="R68" s="22" t="n"/>
      <c r="S68" s="45" t="n"/>
      <c r="T68" s="47" t="n"/>
      <c r="U68" s="69" t="n"/>
      <c r="V68" s="77" t="n"/>
      <c r="W68" s="77" t="n"/>
      <c r="X68" s="77" t="n"/>
      <c r="Y68" s="77" t="n"/>
    </row>
    <row r="69" ht="15.75" customHeight="1">
      <c r="A69" s="56" t="n">
        <v>63</v>
      </c>
      <c r="B69" s="80" t="n">
        <v>46301</v>
      </c>
      <c r="C69" s="117" t="inlineStr">
        <is>
          <t>63/10</t>
        </is>
      </c>
      <c r="D69" s="118" t="n">
        <v>218496</v>
      </c>
      <c r="E69" s="104" t="n">
        <v>24.018</v>
      </c>
      <c r="F69" s="119" t="inlineStr">
        <is>
          <t>MOJINETE</t>
        </is>
      </c>
      <c r="G69" s="120" t="n">
        <v>51028</v>
      </c>
      <c r="H69" s="121" t="n"/>
      <c r="I69" s="69" t="n">
        <v>24.018</v>
      </c>
      <c r="J69" s="103" t="n"/>
      <c r="K69" s="122" t="n"/>
      <c r="L69" s="78" t="inlineStr">
        <is>
          <t>MIGUEL TIJRA</t>
        </is>
      </c>
      <c r="M69" s="124" t="inlineStr">
        <is>
          <t>HECTOR QUISPE</t>
        </is>
      </c>
      <c r="N69" s="83" t="inlineStr">
        <is>
          <t>2263 PKI</t>
        </is>
      </c>
      <c r="O69" s="73">
        <f>+O68+1</f>
        <v/>
      </c>
      <c r="Q69" s="51" t="n"/>
      <c r="R69" s="22" t="n"/>
      <c r="S69" s="45" t="n"/>
      <c r="T69" s="47" t="n"/>
      <c r="U69" s="69" t="n"/>
      <c r="V69" s="77" t="n"/>
      <c r="W69" s="77" t="n"/>
      <c r="X69" s="69">
        <f>+E69</f>
        <v/>
      </c>
      <c r="Y69" s="69" t="n"/>
    </row>
    <row r="70" ht="15.75" customHeight="1">
      <c r="A70" s="56" t="n">
        <v>64</v>
      </c>
      <c r="B70" s="80" t="n">
        <v>46301</v>
      </c>
      <c r="C70" s="117" t="inlineStr">
        <is>
          <t>64/10</t>
        </is>
      </c>
      <c r="D70" s="118" t="n">
        <v>218499</v>
      </c>
      <c r="E70" s="104" t="n">
        <v>27.941</v>
      </c>
      <c r="F70" s="119" t="inlineStr">
        <is>
          <t>MOJINETE</t>
        </is>
      </c>
      <c r="G70" s="120" t="n">
        <v>51028</v>
      </c>
      <c r="H70" s="121" t="n"/>
      <c r="I70" s="69" t="n">
        <v>27.941</v>
      </c>
      <c r="J70" s="103" t="n"/>
      <c r="K70" s="122" t="n"/>
      <c r="L70" s="78" t="inlineStr">
        <is>
          <t>ROGER QUISPE MIRANDA</t>
        </is>
      </c>
      <c r="M70" s="86" t="inlineStr">
        <is>
          <t>MIGUEL SANDI</t>
        </is>
      </c>
      <c r="N70" s="58" t="inlineStr">
        <is>
          <t>2824 TEE</t>
        </is>
      </c>
      <c r="O70" s="73">
        <f>+O69+1</f>
        <v/>
      </c>
      <c r="Q70" s="51" t="n"/>
      <c r="R70" s="22" t="n"/>
      <c r="S70" s="45" t="n"/>
      <c r="T70" s="47" t="n"/>
      <c r="U70" s="69" t="n"/>
      <c r="V70" s="77" t="n"/>
      <c r="W70" s="77" t="n"/>
      <c r="X70" s="77" t="n"/>
      <c r="Y70" s="69">
        <f>+E70</f>
        <v/>
      </c>
    </row>
    <row r="71" ht="15.75" customHeight="1">
      <c r="A71" s="56" t="n">
        <v>65</v>
      </c>
      <c r="B71" s="80" t="n">
        <v>46301</v>
      </c>
      <c r="C71" s="117" t="inlineStr">
        <is>
          <t>65/10</t>
        </is>
      </c>
      <c r="D71" s="118" t="n">
        <v>218500</v>
      </c>
      <c r="E71" s="104" t="n">
        <v>26.082</v>
      </c>
      <c r="F71" s="119" t="inlineStr">
        <is>
          <t>MOJINETE</t>
        </is>
      </c>
      <c r="G71" s="120" t="n">
        <v>51028</v>
      </c>
      <c r="H71" s="121" t="n"/>
      <c r="I71" s="69" t="n">
        <v>26.082</v>
      </c>
      <c r="J71" s="103" t="n"/>
      <c r="K71" s="122" t="n"/>
      <c r="L71" s="78" t="inlineStr">
        <is>
          <t>ROGER QUISPE MIRANDA</t>
        </is>
      </c>
      <c r="M71" s="86" t="inlineStr">
        <is>
          <t>FERNANDO SANDI</t>
        </is>
      </c>
      <c r="N71" s="58" t="inlineStr">
        <is>
          <t>1497 DYL</t>
        </is>
      </c>
      <c r="O71" s="73">
        <f>+O70+1</f>
        <v/>
      </c>
      <c r="Q71" s="51" t="n"/>
      <c r="R71" s="22" t="n"/>
      <c r="S71" s="45" t="n"/>
      <c r="T71" s="47" t="n"/>
      <c r="U71" s="69" t="n"/>
      <c r="V71" s="77" t="n"/>
      <c r="W71" s="77" t="n"/>
      <c r="X71" s="77" t="n"/>
      <c r="Y71" s="77" t="n"/>
    </row>
    <row r="72" ht="15.75" customHeight="1">
      <c r="A72" s="56" t="n">
        <v>66</v>
      </c>
      <c r="B72" s="80" t="n">
        <v>46301</v>
      </c>
      <c r="C72" s="117" t="inlineStr">
        <is>
          <t>66/10</t>
        </is>
      </c>
      <c r="D72" s="118" t="n">
        <v>218501</v>
      </c>
      <c r="E72" s="104" t="n">
        <v>27.034</v>
      </c>
      <c r="F72" s="119" t="inlineStr">
        <is>
          <t>MOJINETE</t>
        </is>
      </c>
      <c r="G72" s="120" t="n">
        <v>51028</v>
      </c>
      <c r="H72" s="121" t="n"/>
      <c r="I72" s="69" t="n">
        <v>27.034</v>
      </c>
      <c r="J72" s="103" t="n"/>
      <c r="K72" s="122" t="n"/>
      <c r="L72" s="78" t="inlineStr">
        <is>
          <t>ROGER QUISPE MIRANDA</t>
        </is>
      </c>
      <c r="M72" s="86" t="inlineStr">
        <is>
          <t>EDGAR SANDI</t>
        </is>
      </c>
      <c r="N72" s="58" t="inlineStr">
        <is>
          <t>1117 LSA</t>
        </is>
      </c>
      <c r="O72" s="73">
        <f>+O71+1</f>
        <v/>
      </c>
      <c r="Q72" s="51" t="n"/>
      <c r="R72" s="22" t="n"/>
      <c r="S72" s="45" t="n"/>
      <c r="T72" s="47" t="n"/>
      <c r="U72" s="69" t="n"/>
      <c r="V72" s="77" t="n"/>
      <c r="W72" s="77" t="n"/>
      <c r="X72" s="77" t="n"/>
      <c r="Y72" s="77" t="n"/>
    </row>
    <row r="73" ht="15.75" customHeight="1">
      <c r="A73" s="56" t="n">
        <v>67</v>
      </c>
      <c r="B73" s="80" t="n">
        <v>46301</v>
      </c>
      <c r="C73" s="117" t="inlineStr">
        <is>
          <t>67/10</t>
        </is>
      </c>
      <c r="D73" s="118" t="n">
        <v>218502</v>
      </c>
      <c r="E73" s="104" t="n">
        <v>27.147</v>
      </c>
      <c r="F73" s="119" t="inlineStr">
        <is>
          <t>MOJINETE</t>
        </is>
      </c>
      <c r="G73" s="120" t="n">
        <v>51028</v>
      </c>
      <c r="H73" s="121" t="n"/>
      <c r="I73" s="69" t="n">
        <v>27.148</v>
      </c>
      <c r="J73" s="103" t="n"/>
      <c r="K73" s="122" t="n"/>
      <c r="L73" s="78" t="inlineStr">
        <is>
          <t>ROGER QUISPE MIRANDA</t>
        </is>
      </c>
      <c r="M73" s="86" t="inlineStr">
        <is>
          <t>ALFREDO SANDI</t>
        </is>
      </c>
      <c r="N73" s="58" t="inlineStr">
        <is>
          <t>2343 EKE</t>
        </is>
      </c>
      <c r="O73" s="73">
        <f>+O72+1</f>
        <v/>
      </c>
      <c r="Q73" s="51" t="n"/>
      <c r="R73" s="22" t="n"/>
      <c r="S73" s="45" t="n"/>
      <c r="T73" s="47" t="n"/>
      <c r="U73" s="69" t="n"/>
      <c r="V73" s="77" t="n"/>
      <c r="W73" s="77" t="n"/>
      <c r="X73" s="77" t="n"/>
      <c r="Y73" s="77" t="n"/>
    </row>
    <row r="74" ht="15.75" customHeight="1">
      <c r="A74" s="56" t="n">
        <v>68</v>
      </c>
      <c r="B74" s="80" t="n">
        <v>46301</v>
      </c>
      <c r="C74" s="117" t="inlineStr">
        <is>
          <t>68/10</t>
        </is>
      </c>
      <c r="D74" s="118" t="n">
        <v>218503</v>
      </c>
      <c r="E74" s="104" t="n">
        <v>27.873</v>
      </c>
      <c r="F74" s="119" t="inlineStr">
        <is>
          <t>MOJINETE</t>
        </is>
      </c>
      <c r="G74" s="120" t="n">
        <v>51028</v>
      </c>
      <c r="H74" s="121" t="n"/>
      <c r="I74" s="69" t="n">
        <v>27.873</v>
      </c>
      <c r="J74" s="103" t="n"/>
      <c r="K74" s="122" t="n"/>
      <c r="L74" s="78" t="inlineStr">
        <is>
          <t>ROGER QUISPE MIRANDA</t>
        </is>
      </c>
      <c r="M74" s="86" t="inlineStr">
        <is>
          <t>MARCO SANDI</t>
        </is>
      </c>
      <c r="N74" s="58" t="inlineStr">
        <is>
          <t>1264 FYT</t>
        </is>
      </c>
      <c r="O74" s="73">
        <f>+O73+1</f>
        <v/>
      </c>
      <c r="Q74" s="51" t="n"/>
      <c r="R74" s="22" t="n"/>
      <c r="S74" s="45" t="n"/>
      <c r="T74" s="47" t="n"/>
      <c r="U74" s="69" t="n"/>
      <c r="V74" s="77" t="n"/>
      <c r="W74" s="77" t="n"/>
      <c r="X74" s="77" t="n"/>
      <c r="Y74" s="77" t="n"/>
    </row>
    <row r="75" ht="15.75" customHeight="1">
      <c r="A75" s="56" t="n">
        <v>69</v>
      </c>
      <c r="B75" s="80" t="n">
        <v>46301</v>
      </c>
      <c r="C75" s="117" t="inlineStr">
        <is>
          <t>69/10</t>
        </is>
      </c>
      <c r="D75" s="118" t="n">
        <v>218504</v>
      </c>
      <c r="E75" s="104" t="n">
        <v>25.968</v>
      </c>
      <c r="F75" s="119" t="inlineStr">
        <is>
          <t>MOJINETE</t>
        </is>
      </c>
      <c r="G75" s="120" t="n">
        <v>51028</v>
      </c>
      <c r="H75" s="121" t="n"/>
      <c r="I75" s="69" t="n">
        <v>25.968</v>
      </c>
      <c r="J75" s="103" t="n"/>
      <c r="K75" s="122" t="n"/>
      <c r="L75" s="78" t="inlineStr">
        <is>
          <t>ROGER QUISPE MIRANDA</t>
        </is>
      </c>
      <c r="M75" s="86" t="inlineStr">
        <is>
          <t>IVER MURILLO</t>
        </is>
      </c>
      <c r="N75" s="58" t="inlineStr">
        <is>
          <t>1190 ITF</t>
        </is>
      </c>
      <c r="O75" s="73">
        <f>+O74+1</f>
        <v/>
      </c>
      <c r="Q75" s="51" t="n"/>
      <c r="R75" s="22" t="n"/>
      <c r="S75" s="45" t="n"/>
      <c r="T75" s="47" t="n"/>
      <c r="U75" s="69" t="n"/>
      <c r="V75" s="77" t="n"/>
      <c r="W75" s="77" t="n"/>
      <c r="X75" s="77" t="n"/>
      <c r="Y75" s="77" t="n"/>
    </row>
    <row r="76" ht="15.75" customHeight="1">
      <c r="A76" s="56" t="n">
        <v>70</v>
      </c>
      <c r="B76" s="80" t="n">
        <v>46301</v>
      </c>
      <c r="C76" s="117" t="inlineStr">
        <is>
          <t>70/10</t>
        </is>
      </c>
      <c r="D76" s="118" t="n">
        <v>218505</v>
      </c>
      <c r="E76" s="104" t="n">
        <v>26.331</v>
      </c>
      <c r="F76" s="119" t="inlineStr">
        <is>
          <t>MOJINETE</t>
        </is>
      </c>
      <c r="G76" s="120" t="n">
        <v>51028</v>
      </c>
      <c r="H76" s="121" t="n"/>
      <c r="I76" s="69" t="n">
        <v>26.331</v>
      </c>
      <c r="J76" s="103" t="n"/>
      <c r="K76" s="122" t="n"/>
      <c r="L76" s="78" t="inlineStr">
        <is>
          <t>ROGER QUISPE MIRANDA</t>
        </is>
      </c>
      <c r="M76" s="59" t="inlineStr">
        <is>
          <t>MARVIN RAMOS</t>
        </is>
      </c>
      <c r="N76" s="57" t="inlineStr">
        <is>
          <t>2075 ZFB</t>
        </is>
      </c>
      <c r="O76" s="73">
        <f>+O75+1</f>
        <v/>
      </c>
      <c r="Q76" s="51" t="n"/>
      <c r="R76" s="22" t="n"/>
      <c r="S76" s="45" t="n"/>
      <c r="T76" s="47" t="n"/>
      <c r="U76" s="69" t="n"/>
      <c r="V76" s="77" t="n"/>
      <c r="W76" s="77" t="n"/>
      <c r="X76" s="77" t="n"/>
      <c r="Y76" s="77" t="n"/>
    </row>
    <row r="77" ht="15.75" customHeight="1">
      <c r="A77" s="56" t="n">
        <v>71</v>
      </c>
      <c r="B77" s="80" t="n">
        <v>46301</v>
      </c>
      <c r="C77" s="117" t="inlineStr">
        <is>
          <t>71/10</t>
        </is>
      </c>
      <c r="D77" s="118" t="n">
        <v>218506</v>
      </c>
      <c r="E77" s="104" t="n">
        <v>26.852</v>
      </c>
      <c r="F77" s="119" t="inlineStr">
        <is>
          <t>MOJINETE</t>
        </is>
      </c>
      <c r="G77" s="120" t="n">
        <v>51028</v>
      </c>
      <c r="H77" s="121" t="n"/>
      <c r="I77" s="69" t="n">
        <v>26.853</v>
      </c>
      <c r="J77" s="103" t="n"/>
      <c r="K77" s="122" t="n"/>
      <c r="L77" s="78" t="inlineStr">
        <is>
          <t>ROGER QUISPE MIRANDA</t>
        </is>
      </c>
      <c r="M77" s="59" t="inlineStr">
        <is>
          <t>FELIX VASQUEZ</t>
        </is>
      </c>
      <c r="N77" s="57" t="inlineStr">
        <is>
          <t>1529 HKX</t>
        </is>
      </c>
      <c r="O77" s="73">
        <f>+O76+1</f>
        <v/>
      </c>
      <c r="Q77" s="51" t="n"/>
      <c r="R77" s="22" t="n"/>
      <c r="S77" s="45" t="n"/>
      <c r="T77" s="47" t="n"/>
      <c r="U77" s="69" t="n"/>
      <c r="V77" s="77" t="n"/>
      <c r="W77" s="77" t="n"/>
      <c r="X77" s="77" t="n"/>
      <c r="Y77" s="77" t="n"/>
    </row>
    <row r="78" ht="15.75" customHeight="1">
      <c r="A78" s="56" t="n">
        <v>72</v>
      </c>
      <c r="B78" s="80" t="n">
        <v>46301</v>
      </c>
      <c r="C78" s="117" t="inlineStr">
        <is>
          <t>72/10</t>
        </is>
      </c>
      <c r="D78" s="118" t="n">
        <v>218507</v>
      </c>
      <c r="E78" s="104" t="n">
        <v>25.922</v>
      </c>
      <c r="F78" s="119" t="inlineStr">
        <is>
          <t>MOJINETE</t>
        </is>
      </c>
      <c r="G78" s="120" t="n">
        <v>51028</v>
      </c>
      <c r="H78" s="121" t="n"/>
      <c r="I78" s="69" t="n">
        <v>25.923</v>
      </c>
      <c r="J78" s="103" t="n"/>
      <c r="K78" s="122" t="n"/>
      <c r="L78" s="78" t="inlineStr">
        <is>
          <t>ROGER QUISPE MIRANDA</t>
        </is>
      </c>
      <c r="M78" s="59" t="inlineStr">
        <is>
          <t>EDWIN SANDI</t>
        </is>
      </c>
      <c r="N78" s="57" t="inlineStr">
        <is>
          <t>697 NPF</t>
        </is>
      </c>
      <c r="O78" s="73">
        <f>+O77+1</f>
        <v/>
      </c>
      <c r="Q78" s="51" t="n"/>
      <c r="R78" s="22" t="n"/>
      <c r="S78" s="45" t="n"/>
      <c r="T78" s="47" t="n"/>
      <c r="U78" s="69" t="n"/>
      <c r="V78" s="77" t="n"/>
      <c r="W78" s="77" t="n"/>
      <c r="X78" s="77" t="n"/>
      <c r="Y78" s="77" t="n"/>
    </row>
    <row r="79" ht="15.75" customHeight="1">
      <c r="A79" s="56" t="n">
        <v>73</v>
      </c>
      <c r="B79" s="80" t="n">
        <v>46301</v>
      </c>
      <c r="C79" s="117" t="inlineStr">
        <is>
          <t>73/10</t>
        </is>
      </c>
      <c r="D79" s="118" t="n">
        <v>218508</v>
      </c>
      <c r="E79" s="104" t="n">
        <v>25.288</v>
      </c>
      <c r="F79" s="119" t="inlineStr">
        <is>
          <t>MOJINETE</t>
        </is>
      </c>
      <c r="G79" s="120" t="n">
        <v>51028</v>
      </c>
      <c r="H79" s="121" t="n"/>
      <c r="I79" s="69" t="n">
        <v>25.288</v>
      </c>
      <c r="J79" s="103" t="n"/>
      <c r="K79" s="122" t="n"/>
      <c r="L79" s="78" t="inlineStr">
        <is>
          <t>ROGER QUISPE MIRANDA</t>
        </is>
      </c>
      <c r="M79" s="87" t="inlineStr">
        <is>
          <t>WALTER CHOQUE</t>
        </is>
      </c>
      <c r="N79" s="57" t="inlineStr">
        <is>
          <t>598 ULI</t>
        </is>
      </c>
      <c r="O79" s="73">
        <f>+O78+1</f>
        <v/>
      </c>
      <c r="Q79" s="51" t="n"/>
      <c r="R79" s="22" t="n"/>
      <c r="S79" s="45" t="n"/>
      <c r="T79" s="47" t="n"/>
      <c r="U79" s="69" t="n"/>
      <c r="V79" s="77" t="n"/>
      <c r="W79" s="77" t="n"/>
      <c r="X79" s="77" t="n"/>
      <c r="Y79" s="77" t="n"/>
    </row>
    <row r="80" ht="15.75" customHeight="1">
      <c r="A80" s="56" t="n">
        <v>74</v>
      </c>
      <c r="B80" s="80" t="n">
        <v>46301</v>
      </c>
      <c r="C80" s="117" t="inlineStr">
        <is>
          <t>74/10</t>
        </is>
      </c>
      <c r="D80" s="118" t="n">
        <v>218509</v>
      </c>
      <c r="E80" s="104" t="n">
        <v>26.898</v>
      </c>
      <c r="F80" s="119" t="inlineStr">
        <is>
          <t>MOJINETE</t>
        </is>
      </c>
      <c r="G80" s="120" t="n">
        <v>51028</v>
      </c>
      <c r="H80" s="121" t="n"/>
      <c r="I80" s="69" t="n">
        <v>26.898</v>
      </c>
      <c r="J80" s="103" t="n"/>
      <c r="K80" s="122" t="n"/>
      <c r="L80" s="78" t="inlineStr">
        <is>
          <t>ROGER QUISPE MIRANDA</t>
        </is>
      </c>
      <c r="M80" s="59" t="inlineStr">
        <is>
          <t>VICENTE SAAVEDRA</t>
        </is>
      </c>
      <c r="N80" s="60" t="inlineStr">
        <is>
          <t>1447 TKH</t>
        </is>
      </c>
      <c r="O80" s="73">
        <f>+O79+1</f>
        <v/>
      </c>
      <c r="Q80" s="51" t="n"/>
      <c r="R80" s="22" t="n"/>
      <c r="S80" s="45" t="n"/>
      <c r="T80" s="47" t="n"/>
      <c r="U80" s="69" t="n"/>
      <c r="V80" s="77" t="n"/>
      <c r="W80" s="77" t="n"/>
      <c r="X80" s="77" t="n"/>
      <c r="Y80" s="77" t="n"/>
    </row>
    <row r="81" ht="15.75" customHeight="1">
      <c r="A81" s="56" t="n">
        <v>75</v>
      </c>
      <c r="B81" s="80" t="n">
        <v>46301</v>
      </c>
      <c r="C81" s="117" t="inlineStr">
        <is>
          <t>75/10</t>
        </is>
      </c>
      <c r="D81" s="118" t="n">
        <v>218510</v>
      </c>
      <c r="E81" s="104" t="n">
        <v>23.133</v>
      </c>
      <c r="F81" s="119" t="inlineStr">
        <is>
          <t>MOJINETE</t>
        </is>
      </c>
      <c r="G81" s="120" t="n">
        <v>51028</v>
      </c>
      <c r="H81" s="121" t="n"/>
      <c r="I81" s="69" t="n">
        <v>23.133</v>
      </c>
      <c r="J81" s="103" t="n"/>
      <c r="K81" s="122" t="n"/>
      <c r="L81" s="78" t="inlineStr">
        <is>
          <t>ROGER QUISPE MIRANDA</t>
        </is>
      </c>
      <c r="M81" s="59" t="inlineStr">
        <is>
          <t>FELIPE ROJAS</t>
        </is>
      </c>
      <c r="N81" s="61" t="inlineStr">
        <is>
          <t>826 UUT</t>
        </is>
      </c>
      <c r="O81" s="73">
        <f>+O80+1</f>
        <v/>
      </c>
      <c r="P81" t="n">
        <v>170</v>
      </c>
      <c r="Q81" s="51" t="n"/>
      <c r="R81" s="22" t="n"/>
      <c r="S81" s="45" t="n"/>
      <c r="T81" s="47" t="n"/>
      <c r="U81" s="69" t="n"/>
      <c r="V81" s="77" t="n"/>
      <c r="W81" s="77" t="n"/>
      <c r="X81" s="69">
        <f>+E81</f>
        <v/>
      </c>
      <c r="Y81" s="77" t="n"/>
    </row>
    <row r="82" ht="15.75" customHeight="1">
      <c r="A82" s="56" t="n">
        <v>76</v>
      </c>
      <c r="B82" s="80" t="n">
        <v>46301</v>
      </c>
      <c r="C82" s="117" t="inlineStr">
        <is>
          <t>76/10</t>
        </is>
      </c>
      <c r="D82" s="118" t="n">
        <v>218511</v>
      </c>
      <c r="E82" s="104" t="n">
        <v>22.498</v>
      </c>
      <c r="F82" s="119" t="inlineStr">
        <is>
          <t>MOJINETE</t>
        </is>
      </c>
      <c r="G82" s="120" t="n">
        <v>51028</v>
      </c>
      <c r="H82" s="121" t="n"/>
      <c r="I82" s="69" t="n">
        <v>22.498</v>
      </c>
      <c r="J82" s="103" t="n"/>
      <c r="K82" s="122" t="n"/>
      <c r="L82" s="78" t="inlineStr">
        <is>
          <t>ROGER QUISPE MIRANDA</t>
        </is>
      </c>
      <c r="M82" s="124" t="inlineStr">
        <is>
          <t>FAUSTO IBARRA</t>
        </is>
      </c>
      <c r="N82" s="82" t="inlineStr">
        <is>
          <t>820 NHX</t>
        </is>
      </c>
      <c r="O82" s="73">
        <f>+O81+1</f>
        <v/>
      </c>
      <c r="Q82" s="51" t="n"/>
      <c r="R82" s="22" t="n"/>
      <c r="S82" s="45" t="n"/>
      <c r="T82" s="47" t="n"/>
      <c r="U82" s="69" t="n"/>
      <c r="V82" s="77" t="n"/>
      <c r="W82" s="77" t="n"/>
      <c r="X82" s="77" t="n"/>
      <c r="Y82" s="69">
        <f>+E82</f>
        <v/>
      </c>
    </row>
    <row r="83" ht="15.75" customHeight="1">
      <c r="A83" s="56" t="n">
        <v>77</v>
      </c>
      <c r="B83" s="80" t="n">
        <v>46301</v>
      </c>
      <c r="C83" s="117" t="inlineStr">
        <is>
          <t>77/10</t>
        </is>
      </c>
      <c r="D83" s="118" t="n">
        <v>218512</v>
      </c>
      <c r="E83" s="104" t="n">
        <v>26.24</v>
      </c>
      <c r="F83" s="119" t="inlineStr">
        <is>
          <t>MOJINETE</t>
        </is>
      </c>
      <c r="G83" s="120" t="n">
        <v>51028</v>
      </c>
      <c r="H83" s="121" t="n"/>
      <c r="I83" s="69" t="n">
        <v>26.24</v>
      </c>
      <c r="J83" s="103" t="n"/>
      <c r="K83" s="122" t="n"/>
      <c r="L83" s="78" t="inlineStr">
        <is>
          <t>EMUSA</t>
        </is>
      </c>
      <c r="M83" s="81" t="inlineStr">
        <is>
          <t>JUAN NINA</t>
        </is>
      </c>
      <c r="N83" s="74" t="inlineStr">
        <is>
          <t>6657 DZH</t>
        </is>
      </c>
      <c r="O83" s="73">
        <f>+O82+1</f>
        <v/>
      </c>
      <c r="Q83" s="51" t="n"/>
      <c r="R83" s="22" t="n"/>
      <c r="S83" s="45" t="n"/>
      <c r="T83" s="47" t="n"/>
      <c r="U83" s="69" t="n"/>
      <c r="V83" s="77" t="n"/>
      <c r="W83" s="77" t="n"/>
      <c r="X83" s="77" t="n"/>
      <c r="Y83" s="77" t="n"/>
    </row>
    <row r="84" ht="15.75" customHeight="1">
      <c r="A84" s="56" t="n">
        <v>78</v>
      </c>
      <c r="B84" s="80" t="n">
        <v>46301</v>
      </c>
      <c r="C84" s="117" t="inlineStr">
        <is>
          <t>78/10</t>
        </is>
      </c>
      <c r="D84" s="118" t="n">
        <v>218513</v>
      </c>
      <c r="E84" s="104" t="n">
        <v>27.51</v>
      </c>
      <c r="F84" s="119" t="inlineStr">
        <is>
          <t>MOJINETE</t>
        </is>
      </c>
      <c r="G84" s="120" t="n">
        <v>51028</v>
      </c>
      <c r="H84" s="121" t="n"/>
      <c r="I84" s="69" t="n">
        <v>27.51</v>
      </c>
      <c r="J84" s="103" t="n"/>
      <c r="K84" s="122" t="n"/>
      <c r="L84" s="78" t="inlineStr">
        <is>
          <t>EMUSA</t>
        </is>
      </c>
      <c r="M84" s="81" t="inlineStr">
        <is>
          <t>EDWIN TAPIA</t>
        </is>
      </c>
      <c r="N84" s="74" t="inlineStr">
        <is>
          <t>6657 DYE</t>
        </is>
      </c>
      <c r="O84" s="73">
        <f>+O83+1</f>
        <v/>
      </c>
      <c r="Q84" s="51" t="n"/>
      <c r="R84" s="22" t="n"/>
      <c r="S84" s="45" t="n"/>
      <c r="T84" s="47" t="n"/>
      <c r="U84" s="69" t="n"/>
      <c r="V84" s="77" t="n"/>
      <c r="W84" s="77" t="n"/>
      <c r="X84" s="77" t="n"/>
      <c r="Y84" s="77" t="n"/>
    </row>
    <row r="85" ht="15.75" customHeight="1">
      <c r="A85" s="56" t="n">
        <v>79</v>
      </c>
      <c r="B85" s="80" t="n">
        <v>46302</v>
      </c>
      <c r="C85" s="117" t="inlineStr">
        <is>
          <t>79/10</t>
        </is>
      </c>
      <c r="D85" s="118" t="n">
        <v>218546</v>
      </c>
      <c r="E85" s="104" t="n">
        <v>21.909</v>
      </c>
      <c r="F85" s="119" t="inlineStr">
        <is>
          <t>MOJINETE</t>
        </is>
      </c>
      <c r="G85" s="120" t="n">
        <v>51028</v>
      </c>
      <c r="H85" s="121" t="n"/>
      <c r="I85" s="69" t="n">
        <v>21.909</v>
      </c>
      <c r="J85" s="103" t="n"/>
      <c r="K85" s="122" t="n"/>
      <c r="L85" s="78" t="inlineStr">
        <is>
          <t>MIGUEL TIJRA</t>
        </is>
      </c>
      <c r="M85" s="81" t="inlineStr">
        <is>
          <t>JESUS COPA</t>
        </is>
      </c>
      <c r="N85" s="74" t="inlineStr">
        <is>
          <t>1387 LGH</t>
        </is>
      </c>
      <c r="O85" s="73">
        <f>+O84+1</f>
        <v/>
      </c>
      <c r="Q85" s="51" t="n"/>
      <c r="R85" s="22" t="n"/>
      <c r="S85" s="45" t="n"/>
      <c r="T85" s="47" t="n"/>
      <c r="U85" s="69" t="n"/>
      <c r="V85" s="77" t="n"/>
      <c r="W85" s="77" t="n"/>
      <c r="X85" s="77" t="n"/>
      <c r="Y85" s="77" t="n"/>
    </row>
    <row r="86" ht="15.75" customHeight="1">
      <c r="A86" s="56" t="n">
        <v>80</v>
      </c>
      <c r="B86" s="80" t="n">
        <v>46302</v>
      </c>
      <c r="C86" s="117" t="inlineStr">
        <is>
          <t>80/10</t>
        </is>
      </c>
      <c r="D86" s="118" t="n">
        <v>218547</v>
      </c>
      <c r="E86" s="104" t="n">
        <v>20.457</v>
      </c>
      <c r="F86" s="119" t="inlineStr">
        <is>
          <t>MOJINETE</t>
        </is>
      </c>
      <c r="G86" s="120" t="n">
        <v>51028</v>
      </c>
      <c r="H86" s="121" t="n"/>
      <c r="I86" s="69" t="n">
        <v>20.457</v>
      </c>
      <c r="J86" s="103" t="n"/>
      <c r="K86" s="122" t="n"/>
      <c r="L86" s="78" t="inlineStr">
        <is>
          <t>MIGUEL TIJRA</t>
        </is>
      </c>
      <c r="M86" s="81" t="inlineStr">
        <is>
          <t>WILFREDO ARUQUIPA</t>
        </is>
      </c>
      <c r="N86" s="74" t="inlineStr">
        <is>
          <t>1630 UGE</t>
        </is>
      </c>
      <c r="O86" s="73">
        <f>+O85+1</f>
        <v/>
      </c>
      <c r="Q86" s="51" t="n"/>
      <c r="R86" s="22" t="n"/>
      <c r="S86" s="45" t="n"/>
      <c r="T86" s="47" t="n"/>
      <c r="U86" s="69" t="n"/>
      <c r="V86" s="77" t="n"/>
      <c r="W86" s="77" t="n"/>
      <c r="X86" s="77" t="n"/>
      <c r="Y86" s="77" t="n"/>
    </row>
    <row r="87" ht="15.75" customHeight="1">
      <c r="A87" s="56" t="n">
        <v>81</v>
      </c>
      <c r="B87" s="80" t="n">
        <v>46302</v>
      </c>
      <c r="C87" s="117" t="inlineStr">
        <is>
          <t>81/10</t>
        </is>
      </c>
      <c r="D87" s="118" t="n">
        <v>218548</v>
      </c>
      <c r="E87" s="104" t="n">
        <v>22.249</v>
      </c>
      <c r="F87" s="119" t="inlineStr">
        <is>
          <t>MOJINETE</t>
        </is>
      </c>
      <c r="G87" s="120" t="n">
        <v>51028</v>
      </c>
      <c r="H87" s="121" t="n"/>
      <c r="I87" s="69" t="n">
        <v>22.249</v>
      </c>
      <c r="J87" s="103" t="n"/>
      <c r="K87" s="122" t="n"/>
      <c r="L87" s="78" t="inlineStr">
        <is>
          <t>MIGUEL TIJRA</t>
        </is>
      </c>
      <c r="M87" s="81" t="inlineStr">
        <is>
          <t>HECTOR QUISPE</t>
        </is>
      </c>
      <c r="N87" s="74" t="inlineStr">
        <is>
          <t>2263 PKI</t>
        </is>
      </c>
      <c r="O87" s="73">
        <f>+O86+1</f>
        <v/>
      </c>
      <c r="Q87" s="51" t="n"/>
      <c r="R87" s="22" t="n"/>
      <c r="S87" s="45" t="n"/>
      <c r="T87" s="47" t="n"/>
      <c r="U87" s="69" t="n"/>
      <c r="V87" s="77" t="n"/>
      <c r="W87" s="77" t="n"/>
      <c r="X87" s="77" t="n"/>
      <c r="Y87" s="77" t="n"/>
    </row>
    <row r="88" ht="15.75" customHeight="1">
      <c r="A88" s="56" t="n">
        <v>82</v>
      </c>
      <c r="B88" s="80" t="n">
        <v>46302</v>
      </c>
      <c r="C88" s="117" t="inlineStr">
        <is>
          <t>82/10</t>
        </is>
      </c>
      <c r="D88" s="118" t="n"/>
      <c r="E88" s="104" t="n">
        <v>26.83</v>
      </c>
      <c r="F88" s="119" t="inlineStr">
        <is>
          <t>SAN PABLO</t>
        </is>
      </c>
      <c r="G88" s="120" t="n">
        <v>51015</v>
      </c>
      <c r="H88" s="121" t="n"/>
      <c r="I88" s="77" t="n"/>
      <c r="J88" s="103" t="n"/>
      <c r="K88" s="122" t="n">
        <v>26.83</v>
      </c>
      <c r="L88" s="78" t="inlineStr">
        <is>
          <t>ROGER QUISPE MIRANDA</t>
        </is>
      </c>
      <c r="M88" s="102" t="inlineStr">
        <is>
          <t>MIGUEL SANDI</t>
        </is>
      </c>
      <c r="N88" s="58" t="inlineStr">
        <is>
          <t>2824 TEE</t>
        </is>
      </c>
      <c r="O88" s="73">
        <f>+O87+1</f>
        <v/>
      </c>
      <c r="Q88" s="51" t="n"/>
      <c r="R88" s="22" t="n"/>
      <c r="S88" s="45" t="n"/>
      <c r="T88" s="47" t="n"/>
      <c r="U88" s="69" t="n"/>
      <c r="V88" s="77" t="n"/>
      <c r="W88" s="77" t="n"/>
      <c r="X88" s="77" t="n"/>
      <c r="Y88" s="77" t="n"/>
    </row>
    <row r="89" ht="15.75" customHeight="1">
      <c r="A89" s="56" t="n">
        <v>83</v>
      </c>
      <c r="B89" s="80" t="n">
        <v>46302</v>
      </c>
      <c r="C89" s="117" t="inlineStr">
        <is>
          <t>83/10</t>
        </is>
      </c>
      <c r="D89" s="118" t="n"/>
      <c r="E89" s="104" t="n">
        <v>24.675</v>
      </c>
      <c r="F89" s="119" t="inlineStr">
        <is>
          <t>SAN PABLO</t>
        </is>
      </c>
      <c r="G89" s="120" t="n">
        <v>51015</v>
      </c>
      <c r="H89" s="121" t="n"/>
      <c r="I89" s="77" t="n"/>
      <c r="J89" s="103" t="n"/>
      <c r="K89" s="122" t="n">
        <v>24.675</v>
      </c>
      <c r="L89" s="78" t="inlineStr">
        <is>
          <t>ROGER QUISPE MIRANDA</t>
        </is>
      </c>
      <c r="M89" s="102" t="inlineStr">
        <is>
          <t>FERNANDO SANDI</t>
        </is>
      </c>
      <c r="N89" s="58" t="inlineStr">
        <is>
          <t>1497 DYL</t>
        </is>
      </c>
      <c r="O89" s="73">
        <f>+O88+1</f>
        <v/>
      </c>
      <c r="Q89" s="51" t="n"/>
      <c r="R89" s="22" t="n"/>
      <c r="S89" s="45" t="n"/>
      <c r="T89" s="47" t="n"/>
      <c r="U89" s="69" t="n"/>
      <c r="V89" s="77" t="n"/>
      <c r="W89" s="77" t="n"/>
      <c r="X89" s="77" t="n"/>
      <c r="Y89" s="77" t="n"/>
    </row>
    <row r="90" ht="15.75" customHeight="1">
      <c r="A90" s="56" t="n">
        <v>84</v>
      </c>
      <c r="B90" s="80" t="n">
        <v>46302</v>
      </c>
      <c r="C90" s="117" t="inlineStr">
        <is>
          <t>84/10</t>
        </is>
      </c>
      <c r="D90" s="118" t="n">
        <v>218751</v>
      </c>
      <c r="E90" s="104" t="n">
        <v>24.857</v>
      </c>
      <c r="F90" s="119" t="inlineStr">
        <is>
          <t>SAN PABLO</t>
        </is>
      </c>
      <c r="G90" s="120" t="n">
        <v>51015</v>
      </c>
      <c r="H90" s="121" t="n"/>
      <c r="I90" s="77" t="n"/>
      <c r="J90" s="103" t="n"/>
      <c r="K90" s="122" t="n">
        <v>24.857</v>
      </c>
      <c r="L90" s="78" t="inlineStr">
        <is>
          <t>ROGER QUISPE MIRANDA</t>
        </is>
      </c>
      <c r="M90" s="102" t="inlineStr">
        <is>
          <t>EDGAR SANDI</t>
        </is>
      </c>
      <c r="N90" s="58" t="inlineStr">
        <is>
          <t>1117 LSA</t>
        </is>
      </c>
      <c r="O90" s="73">
        <f>+O89+1</f>
        <v/>
      </c>
      <c r="Q90" s="51" t="n"/>
      <c r="R90" s="22" t="n"/>
      <c r="S90" s="45" t="n"/>
      <c r="T90" s="47" t="n"/>
      <c r="U90" s="69" t="n"/>
      <c r="V90" s="77" t="n"/>
      <c r="W90" s="77" t="n"/>
      <c r="X90" s="77" t="n"/>
      <c r="Y90" s="77" t="n"/>
    </row>
    <row r="91" ht="15.75" customHeight="1">
      <c r="A91" s="56" t="n">
        <v>85</v>
      </c>
      <c r="B91" s="80" t="n">
        <v>46302</v>
      </c>
      <c r="C91" s="117" t="inlineStr">
        <is>
          <t>85/10</t>
        </is>
      </c>
      <c r="D91" s="118" t="n">
        <v>218752</v>
      </c>
      <c r="E91" s="104" t="n">
        <v>26.014</v>
      </c>
      <c r="F91" s="119" t="inlineStr">
        <is>
          <t>SAN PABLO</t>
        </is>
      </c>
      <c r="G91" s="120" t="n">
        <v>51015</v>
      </c>
      <c r="H91" s="121" t="n"/>
      <c r="I91" s="77" t="n"/>
      <c r="J91" s="103" t="n"/>
      <c r="K91" s="122" t="n">
        <v>26.014</v>
      </c>
      <c r="L91" s="78" t="inlineStr">
        <is>
          <t>ROGER QUISPE MIRANDA</t>
        </is>
      </c>
      <c r="M91" s="102" t="inlineStr">
        <is>
          <t>ALFREDO SANDI</t>
        </is>
      </c>
      <c r="N91" s="58" t="inlineStr">
        <is>
          <t>2343 EKE</t>
        </is>
      </c>
      <c r="O91" s="73">
        <f>+O90+1</f>
        <v/>
      </c>
      <c r="Q91" s="51" t="n"/>
      <c r="R91" s="22" t="n"/>
      <c r="S91" s="45" t="n"/>
      <c r="T91" s="47" t="n"/>
      <c r="U91" s="69" t="n"/>
      <c r="V91" s="77" t="n"/>
      <c r="W91" s="77" t="n"/>
      <c r="X91" s="77" t="n"/>
      <c r="Y91" s="77" t="n"/>
    </row>
    <row r="92" ht="15.75" customHeight="1">
      <c r="A92" s="56" t="n">
        <v>86</v>
      </c>
      <c r="B92" s="80" t="n">
        <v>46302</v>
      </c>
      <c r="C92" s="117" t="inlineStr">
        <is>
          <t>86/10</t>
        </is>
      </c>
      <c r="D92" s="118" t="n">
        <v>218753</v>
      </c>
      <c r="E92" s="104" t="n">
        <v>24.403</v>
      </c>
      <c r="F92" s="119" t="inlineStr">
        <is>
          <t>SAN PABLO</t>
        </is>
      </c>
      <c r="G92" s="120" t="n">
        <v>51015</v>
      </c>
      <c r="H92" s="121" t="n"/>
      <c r="I92" s="77" t="n"/>
      <c r="J92" s="103" t="n"/>
      <c r="K92" s="122" t="n">
        <v>24.403</v>
      </c>
      <c r="L92" s="78" t="inlineStr">
        <is>
          <t>ROGER QUISPE MIRANDA</t>
        </is>
      </c>
      <c r="M92" s="102" t="inlineStr">
        <is>
          <t>MARCO SANDI</t>
        </is>
      </c>
      <c r="N92" s="58" t="inlineStr">
        <is>
          <t>1264 FYT</t>
        </is>
      </c>
      <c r="O92" s="73">
        <f>+O91+1</f>
        <v/>
      </c>
      <c r="Q92" s="51" t="n"/>
      <c r="R92" s="22" t="n"/>
      <c r="S92" s="45" t="n"/>
      <c r="T92" s="47" t="n"/>
      <c r="U92" s="69" t="n"/>
      <c r="V92" s="77" t="n"/>
      <c r="W92" s="77" t="n"/>
      <c r="X92" s="77" t="n"/>
      <c r="Y92" s="77" t="n"/>
    </row>
    <row r="93" ht="15.75" customHeight="1">
      <c r="A93" s="56" t="n">
        <v>87</v>
      </c>
      <c r="B93" s="80" t="n">
        <v>46302</v>
      </c>
      <c r="C93" s="117" t="inlineStr">
        <is>
          <t>87/10</t>
        </is>
      </c>
      <c r="D93" s="118" t="n">
        <v>218754</v>
      </c>
      <c r="E93" s="104" t="n">
        <v>25.152</v>
      </c>
      <c r="F93" s="119" t="inlineStr">
        <is>
          <t>SAN PABLO</t>
        </is>
      </c>
      <c r="G93" s="120" t="n">
        <v>51015</v>
      </c>
      <c r="H93" s="121" t="n"/>
      <c r="I93" s="77" t="n"/>
      <c r="J93" s="103" t="n"/>
      <c r="K93" s="122" t="n">
        <v>25.152</v>
      </c>
      <c r="L93" s="78" t="inlineStr">
        <is>
          <t>ROGER QUISPE MIRANDA</t>
        </is>
      </c>
      <c r="M93" s="102" t="inlineStr">
        <is>
          <t>IVER MURILLO</t>
        </is>
      </c>
      <c r="N93" s="58" t="inlineStr">
        <is>
          <t>1190 ITF</t>
        </is>
      </c>
      <c r="O93" s="73">
        <f>+O92+1</f>
        <v/>
      </c>
      <c r="Q93" s="51" t="n"/>
      <c r="R93" s="22" t="n"/>
      <c r="S93" s="45" t="n"/>
      <c r="T93" s="47" t="n"/>
      <c r="U93" s="69" t="n"/>
      <c r="V93" s="77" t="n"/>
      <c r="W93" s="77" t="n"/>
      <c r="X93" s="69">
        <f>+E93</f>
        <v/>
      </c>
      <c r="Y93" s="77" t="n"/>
    </row>
    <row r="94" ht="15.75" customHeight="1">
      <c r="A94" s="56" t="n">
        <v>88</v>
      </c>
      <c r="B94" s="80" t="n">
        <v>46302</v>
      </c>
      <c r="C94" s="117" t="inlineStr">
        <is>
          <t>88/10</t>
        </is>
      </c>
      <c r="D94" s="118" t="n">
        <v>218755</v>
      </c>
      <c r="E94" s="104" t="n">
        <v>25.174</v>
      </c>
      <c r="F94" s="119" t="inlineStr">
        <is>
          <t>SAN PABLO</t>
        </is>
      </c>
      <c r="G94" s="120" t="n">
        <v>51015</v>
      </c>
      <c r="H94" s="121" t="n"/>
      <c r="I94" s="77" t="n"/>
      <c r="J94" s="103" t="n"/>
      <c r="K94" s="122" t="n">
        <v>25.174</v>
      </c>
      <c r="L94" s="78" t="inlineStr">
        <is>
          <t>ROGER QUISPE MIRANDA</t>
        </is>
      </c>
      <c r="M94" s="59" t="inlineStr">
        <is>
          <t>MARVIN RAMOS</t>
        </is>
      </c>
      <c r="N94" s="57" t="inlineStr">
        <is>
          <t>2075 ZFB</t>
        </is>
      </c>
      <c r="O94" s="73">
        <f>+O93+1</f>
        <v/>
      </c>
      <c r="Q94" s="51" t="n"/>
      <c r="R94" s="22" t="n"/>
      <c r="S94" s="45" t="n"/>
      <c r="T94" s="47" t="n"/>
      <c r="U94" s="69" t="n"/>
      <c r="V94" s="77" t="n"/>
      <c r="W94" s="77" t="n"/>
      <c r="X94" s="77" t="n"/>
      <c r="Y94" s="69">
        <f>+E94</f>
        <v/>
      </c>
    </row>
    <row r="95" ht="15.75" customHeight="1">
      <c r="A95" s="56" t="n">
        <v>89</v>
      </c>
      <c r="B95" s="80" t="n">
        <v>46302</v>
      </c>
      <c r="C95" s="117" t="inlineStr">
        <is>
          <t>89/10</t>
        </is>
      </c>
      <c r="D95" s="118" t="n">
        <v>218756</v>
      </c>
      <c r="E95" s="104" t="n">
        <v>25.809</v>
      </c>
      <c r="F95" s="119" t="inlineStr">
        <is>
          <t>SAN PABLO</t>
        </is>
      </c>
      <c r="G95" s="120" t="n">
        <v>51015</v>
      </c>
      <c r="H95" s="121" t="n"/>
      <c r="I95" s="77" t="n"/>
      <c r="J95" s="103" t="n"/>
      <c r="K95" s="122" t="n">
        <v>25.809</v>
      </c>
      <c r="L95" s="78" t="inlineStr">
        <is>
          <t>ROGER QUISPE MIRANDA</t>
        </is>
      </c>
      <c r="M95" s="59" t="inlineStr">
        <is>
          <t>FELIX VASQUEZ</t>
        </is>
      </c>
      <c r="N95" s="57" t="inlineStr">
        <is>
          <t>1529 HKX</t>
        </is>
      </c>
      <c r="O95" s="73">
        <f>+O94+1</f>
        <v/>
      </c>
      <c r="Q95" s="51" t="n"/>
      <c r="R95" s="22" t="n"/>
      <c r="S95" s="45" t="n"/>
      <c r="T95" s="47" t="n"/>
      <c r="U95" s="69" t="n"/>
      <c r="V95" s="77" t="n"/>
      <c r="W95" s="77" t="n"/>
      <c r="X95" s="77" t="n"/>
      <c r="Y95" s="77" t="n"/>
    </row>
    <row r="96" ht="15.75" customHeight="1">
      <c r="A96" s="56" t="n">
        <v>90</v>
      </c>
      <c r="B96" s="80" t="n">
        <v>46302</v>
      </c>
      <c r="C96" s="117" t="inlineStr">
        <is>
          <t>90/10</t>
        </is>
      </c>
      <c r="D96" s="118" t="n">
        <v>218757</v>
      </c>
      <c r="E96" s="104" t="n">
        <v>23.292</v>
      </c>
      <c r="F96" s="119" t="inlineStr">
        <is>
          <t>SAN PABLO</t>
        </is>
      </c>
      <c r="G96" s="120" t="n">
        <v>51015</v>
      </c>
      <c r="H96" s="121" t="n"/>
      <c r="I96" s="77" t="n"/>
      <c r="J96" s="103" t="n"/>
      <c r="K96" s="122" t="n">
        <v>23.292</v>
      </c>
      <c r="L96" s="78" t="inlineStr">
        <is>
          <t>ROGER QUISPE MIRANDA</t>
        </is>
      </c>
      <c r="M96" s="59" t="inlineStr">
        <is>
          <t>EDWIN SANDI</t>
        </is>
      </c>
      <c r="N96" s="57" t="inlineStr">
        <is>
          <t>697 NPF</t>
        </is>
      </c>
      <c r="O96" s="73">
        <f>+O95+1</f>
        <v/>
      </c>
      <c r="Q96" s="51" t="n"/>
      <c r="R96" s="22" t="n"/>
      <c r="S96" s="45" t="n"/>
      <c r="T96" s="47" t="n"/>
      <c r="U96" s="69" t="n"/>
      <c r="V96" s="77" t="n"/>
      <c r="W96" s="77" t="n"/>
      <c r="X96" s="77" t="n"/>
      <c r="Y96" s="77" t="n"/>
    </row>
    <row r="97" ht="15.75" customHeight="1">
      <c r="A97" s="56" t="n">
        <v>91</v>
      </c>
      <c r="B97" s="80" t="n">
        <v>46302</v>
      </c>
      <c r="C97" s="117" t="inlineStr">
        <is>
          <t>91/10</t>
        </is>
      </c>
      <c r="D97" s="118" t="n">
        <v>218758</v>
      </c>
      <c r="E97" s="104" t="n">
        <v>23.451</v>
      </c>
      <c r="F97" s="119" t="inlineStr">
        <is>
          <t>SAN PABLO</t>
        </is>
      </c>
      <c r="G97" s="120" t="n">
        <v>51015</v>
      </c>
      <c r="H97" s="121" t="n"/>
      <c r="I97" s="77" t="n"/>
      <c r="J97" s="103" t="n"/>
      <c r="K97" s="122" t="n">
        <v>23.451</v>
      </c>
      <c r="L97" s="78" t="inlineStr">
        <is>
          <t>ROGER QUISPE MIRANDA</t>
        </is>
      </c>
      <c r="M97" s="87" t="inlineStr">
        <is>
          <t>WALTER CHOQUE</t>
        </is>
      </c>
      <c r="N97" s="57" t="inlineStr">
        <is>
          <t>598 ULI</t>
        </is>
      </c>
      <c r="O97" s="73">
        <f>+O96+1</f>
        <v/>
      </c>
      <c r="Q97" s="51" t="n"/>
      <c r="R97" s="22" t="n"/>
      <c r="S97" s="45" t="n"/>
      <c r="T97" s="47" t="n"/>
      <c r="U97" s="69" t="n"/>
      <c r="V97" s="77" t="n"/>
      <c r="W97" s="77" t="n"/>
      <c r="X97" s="77" t="n"/>
      <c r="Y97" s="77" t="n"/>
    </row>
    <row r="98" ht="15.75" customHeight="1">
      <c r="A98" s="56" t="n">
        <v>92</v>
      </c>
      <c r="B98" s="80" t="n">
        <v>46302</v>
      </c>
      <c r="C98" s="117" t="inlineStr">
        <is>
          <t>92/10</t>
        </is>
      </c>
      <c r="D98" s="118" t="n">
        <v>218759</v>
      </c>
      <c r="E98" s="104" t="n">
        <v>25.016</v>
      </c>
      <c r="F98" s="119" t="inlineStr">
        <is>
          <t>SAN PABLO</t>
        </is>
      </c>
      <c r="G98" s="120" t="n">
        <v>51015</v>
      </c>
      <c r="H98" s="121" t="n"/>
      <c r="I98" s="77" t="n"/>
      <c r="J98" s="103" t="n"/>
      <c r="K98" s="122" t="n">
        <v>25.016</v>
      </c>
      <c r="L98" s="78" t="inlineStr">
        <is>
          <t>ROGER QUISPE MIRANDA</t>
        </is>
      </c>
      <c r="M98" s="59" t="inlineStr">
        <is>
          <t>VICENTE SAAVEDRA</t>
        </is>
      </c>
      <c r="N98" s="60" t="inlineStr">
        <is>
          <t>1447 TKH</t>
        </is>
      </c>
      <c r="O98" s="73">
        <f>+O97+1</f>
        <v/>
      </c>
      <c r="Q98" s="51" t="n"/>
      <c r="R98" s="22" t="n"/>
      <c r="S98" s="45" t="n"/>
      <c r="T98" s="47" t="n"/>
      <c r="U98" s="69" t="n"/>
      <c r="V98" s="77" t="n"/>
      <c r="W98" s="77" t="n"/>
      <c r="X98" s="77" t="n"/>
      <c r="Y98" s="77" t="n"/>
    </row>
    <row r="99" ht="15.75" customHeight="1">
      <c r="A99" s="56" t="n">
        <v>93</v>
      </c>
      <c r="B99" s="80" t="n">
        <v>46302</v>
      </c>
      <c r="C99" s="117" t="inlineStr">
        <is>
          <t>93/10</t>
        </is>
      </c>
      <c r="D99" s="118" t="n">
        <v>218760</v>
      </c>
      <c r="E99" s="104" t="n">
        <v>20.117</v>
      </c>
      <c r="F99" s="119" t="inlineStr">
        <is>
          <t>SAN PABLO</t>
        </is>
      </c>
      <c r="G99" s="120" t="n">
        <v>51015</v>
      </c>
      <c r="H99" s="121" t="n"/>
      <c r="I99" s="77" t="n"/>
      <c r="J99" s="103" t="n"/>
      <c r="K99" s="122" t="n">
        <v>20.117</v>
      </c>
      <c r="L99" s="78" t="inlineStr">
        <is>
          <t>ROGER QUISPE MIRANDA</t>
        </is>
      </c>
      <c r="M99" s="59" t="inlineStr">
        <is>
          <t>FELIPE ROJAS</t>
        </is>
      </c>
      <c r="N99" s="61" t="inlineStr">
        <is>
          <t>826 UUT</t>
        </is>
      </c>
      <c r="O99" s="73">
        <f>+O98+1</f>
        <v/>
      </c>
      <c r="Q99" s="51" t="n"/>
      <c r="R99" s="22" t="n"/>
      <c r="S99" s="45" t="n"/>
      <c r="T99" s="47" t="n"/>
      <c r="U99" s="69" t="n"/>
      <c r="V99" s="77" t="n"/>
      <c r="W99" s="77" t="n"/>
      <c r="X99" s="77" t="n"/>
      <c r="Y99" s="77" t="n"/>
    </row>
    <row r="100" ht="15.75" customHeight="1">
      <c r="A100" s="56" t="n">
        <v>94</v>
      </c>
      <c r="B100" s="80" t="n">
        <v>46302</v>
      </c>
      <c r="C100" s="117" t="inlineStr">
        <is>
          <t>94/10</t>
        </is>
      </c>
      <c r="D100" s="118" t="n">
        <v>218761</v>
      </c>
      <c r="E100" s="104" t="n">
        <v>22.861</v>
      </c>
      <c r="F100" s="119" t="inlineStr">
        <is>
          <t>SAN PABLO</t>
        </is>
      </c>
      <c r="G100" s="120" t="n">
        <v>51015</v>
      </c>
      <c r="H100" s="121" t="n"/>
      <c r="I100" s="77" t="n"/>
      <c r="J100" s="103" t="n"/>
      <c r="K100" s="122" t="n">
        <v>22.861</v>
      </c>
      <c r="L100" s="78" t="inlineStr">
        <is>
          <t>ROGER QUISPE MIRANDA</t>
        </is>
      </c>
      <c r="M100" s="124" t="inlineStr">
        <is>
          <t>FAUSTO IBARRA</t>
        </is>
      </c>
      <c r="N100" s="82" t="inlineStr">
        <is>
          <t>820 NHX</t>
        </is>
      </c>
      <c r="O100" s="73">
        <f>+O99+1</f>
        <v/>
      </c>
      <c r="Q100" s="51" t="n"/>
      <c r="R100" s="22" t="n"/>
      <c r="S100" s="45" t="n"/>
      <c r="T100" s="47" t="n"/>
      <c r="U100" s="69" t="n"/>
      <c r="V100" s="77" t="n"/>
      <c r="W100" s="77" t="n"/>
      <c r="X100" s="77" t="n"/>
      <c r="Y100" s="77" t="n"/>
    </row>
    <row r="101" ht="15.75" customHeight="1">
      <c r="A101" s="56" t="n">
        <v>95</v>
      </c>
      <c r="B101" s="116" t="n">
        <v>46303</v>
      </c>
      <c r="C101" s="117" t="inlineStr">
        <is>
          <t>95/10</t>
        </is>
      </c>
      <c r="D101" s="118" t="n">
        <v>218794</v>
      </c>
      <c r="E101" s="104" t="n">
        <v>20.979</v>
      </c>
      <c r="F101" s="119" t="inlineStr">
        <is>
          <t>MOJINETE</t>
        </is>
      </c>
      <c r="G101" s="120" t="n">
        <v>51028</v>
      </c>
      <c r="H101" s="121" t="n"/>
      <c r="I101" s="69" t="n">
        <v>20.979</v>
      </c>
      <c r="J101" s="103" t="n"/>
      <c r="K101" s="122" t="n"/>
      <c r="L101" s="78" t="inlineStr">
        <is>
          <t>ROGER QUISPE MIRANDA</t>
        </is>
      </c>
      <c r="M101" s="124" t="inlineStr">
        <is>
          <t>FAUSTO IBARRA</t>
        </is>
      </c>
      <c r="N101" s="82" t="inlineStr">
        <is>
          <t>820 NHX</t>
        </is>
      </c>
      <c r="O101" s="73">
        <f>+O100+1</f>
        <v/>
      </c>
      <c r="Q101" s="51" t="n"/>
      <c r="R101" s="22" t="n"/>
      <c r="S101" s="45" t="n"/>
      <c r="T101" s="47" t="n"/>
      <c r="U101" s="69" t="n"/>
      <c r="V101" s="77" t="n"/>
      <c r="W101" s="77" t="n"/>
      <c r="X101" s="77" t="n"/>
      <c r="Y101" s="77" t="n"/>
    </row>
    <row r="102" ht="15.75" customHeight="1">
      <c r="A102" s="56" t="n">
        <v>96</v>
      </c>
      <c r="B102" s="116" t="n">
        <v>46303</v>
      </c>
      <c r="C102" s="117" t="inlineStr">
        <is>
          <t>96/10</t>
        </is>
      </c>
      <c r="D102" s="118" t="n">
        <v>218795</v>
      </c>
      <c r="E102" s="104" t="n">
        <v>19.436</v>
      </c>
      <c r="F102" s="119" t="inlineStr">
        <is>
          <t>MOJINETE</t>
        </is>
      </c>
      <c r="G102" s="120" t="n">
        <v>51028</v>
      </c>
      <c r="H102" s="121" t="n"/>
      <c r="I102" s="69" t="n">
        <v>19.436</v>
      </c>
      <c r="J102" s="103" t="n"/>
      <c r="K102" s="122" t="n"/>
      <c r="L102" s="78" t="inlineStr">
        <is>
          <t>ROGER QUISPE MIRANDA</t>
        </is>
      </c>
      <c r="M102" s="124" t="inlineStr">
        <is>
          <t>FELIPE ROJAS</t>
        </is>
      </c>
      <c r="N102" s="82" t="inlineStr">
        <is>
          <t>826 UUT</t>
        </is>
      </c>
      <c r="O102" s="73">
        <f>+O101+1</f>
        <v/>
      </c>
      <c r="Q102" s="51" t="n"/>
      <c r="R102" s="22" t="n"/>
      <c r="S102" s="45" t="n"/>
      <c r="T102" s="47" t="n"/>
      <c r="U102" s="69" t="n"/>
      <c r="V102" s="77" t="n"/>
      <c r="W102" s="77" t="n"/>
      <c r="X102" s="77" t="n"/>
      <c r="Y102" s="77" t="n"/>
    </row>
    <row r="103" ht="15.75" customHeight="1">
      <c r="A103" s="56" t="n">
        <v>97</v>
      </c>
      <c r="B103" s="116" t="n">
        <v>46303</v>
      </c>
      <c r="C103" s="117" t="inlineStr">
        <is>
          <t>97/10</t>
        </is>
      </c>
      <c r="D103" s="118" t="n">
        <v>218796</v>
      </c>
      <c r="E103" s="104" t="n">
        <v>20.752</v>
      </c>
      <c r="F103" s="119" t="inlineStr">
        <is>
          <t>MOJINETE</t>
        </is>
      </c>
      <c r="G103" s="120" t="n">
        <v>51028</v>
      </c>
      <c r="H103" s="121" t="n"/>
      <c r="I103" s="69" t="n">
        <v>20.752</v>
      </c>
      <c r="J103" s="103" t="n"/>
      <c r="K103" s="122" t="n"/>
      <c r="L103" s="78" t="inlineStr">
        <is>
          <t>MIGUEL TIJRA</t>
        </is>
      </c>
      <c r="M103" s="124" t="inlineStr">
        <is>
          <t>JESUS COPA</t>
        </is>
      </c>
      <c r="N103" s="82" t="inlineStr">
        <is>
          <t>1387 LGH</t>
        </is>
      </c>
      <c r="O103" s="73">
        <f>+O102+1</f>
        <v/>
      </c>
      <c r="Q103" s="51" t="n"/>
      <c r="R103" s="22" t="n"/>
      <c r="S103" s="45" t="n"/>
      <c r="T103" s="47" t="n"/>
      <c r="U103" s="69" t="n"/>
      <c r="V103" s="77" t="n"/>
      <c r="W103" s="77" t="n"/>
      <c r="X103" s="77" t="n"/>
      <c r="Y103" s="77" t="n"/>
    </row>
    <row r="104" ht="15.75" customHeight="1">
      <c r="A104" s="56" t="n">
        <v>98</v>
      </c>
      <c r="B104" s="116" t="n">
        <v>46303</v>
      </c>
      <c r="C104" s="117" t="inlineStr">
        <is>
          <t>98/10</t>
        </is>
      </c>
      <c r="D104" s="118" t="n">
        <v>218797</v>
      </c>
      <c r="E104" s="104" t="n">
        <v>20.82</v>
      </c>
      <c r="F104" s="119" t="inlineStr">
        <is>
          <t>MOJINETE</t>
        </is>
      </c>
      <c r="G104" s="120" t="n">
        <v>51028</v>
      </c>
      <c r="H104" s="121" t="n"/>
      <c r="I104" s="69" t="n">
        <v>20.82</v>
      </c>
      <c r="J104" s="103" t="n"/>
      <c r="K104" s="122" t="n"/>
      <c r="L104" s="78" t="inlineStr">
        <is>
          <t>MIGUEL TIJRA</t>
        </is>
      </c>
      <c r="M104" s="124" t="inlineStr">
        <is>
          <t>WILFREDO ARUQUIPA</t>
        </is>
      </c>
      <c r="N104" s="82" t="inlineStr">
        <is>
          <t>1630 UGE</t>
        </is>
      </c>
      <c r="O104" s="73">
        <f>+O103+1</f>
        <v/>
      </c>
      <c r="Q104" s="51" t="n"/>
      <c r="R104" s="22" t="n"/>
      <c r="S104" s="45" t="n"/>
      <c r="T104" s="47" t="n"/>
      <c r="U104" s="69" t="n"/>
      <c r="V104" s="77" t="n"/>
      <c r="W104" s="77" t="n"/>
      <c r="X104" s="77" t="n"/>
      <c r="Y104" s="77" t="n"/>
    </row>
    <row r="105" ht="15.75" customHeight="1">
      <c r="A105" s="56" t="n">
        <v>99</v>
      </c>
      <c r="B105" s="116" t="n">
        <v>46303</v>
      </c>
      <c r="C105" s="117" t="inlineStr">
        <is>
          <t>99/10</t>
        </is>
      </c>
      <c r="D105" s="118" t="n">
        <v>218798</v>
      </c>
      <c r="E105" s="104" t="n">
        <v>24.335</v>
      </c>
      <c r="F105" s="119" t="inlineStr">
        <is>
          <t>MOJINETE</t>
        </is>
      </c>
      <c r="G105" s="120" t="n">
        <v>51028</v>
      </c>
      <c r="H105" s="121" t="n"/>
      <c r="I105" s="69" t="n">
        <v>24.335</v>
      </c>
      <c r="J105" s="103" t="n"/>
      <c r="K105" s="122" t="n"/>
      <c r="L105" s="78" t="inlineStr">
        <is>
          <t>EMUSA</t>
        </is>
      </c>
      <c r="M105" s="71" t="inlineStr">
        <is>
          <t>EDWIN TAPIA</t>
        </is>
      </c>
      <c r="N105" s="74" t="inlineStr">
        <is>
          <t>6657 DYE</t>
        </is>
      </c>
      <c r="O105" s="73">
        <f>+O104+1</f>
        <v/>
      </c>
      <c r="Q105" s="51" t="n"/>
      <c r="R105" s="22" t="n"/>
      <c r="S105" s="45" t="n"/>
      <c r="T105" s="47" t="n"/>
      <c r="U105" s="69" t="n"/>
      <c r="V105" s="77" t="n"/>
      <c r="W105" s="77" t="n"/>
      <c r="X105" s="77" t="n"/>
      <c r="Y105" s="77" t="n"/>
    </row>
    <row r="106" ht="15.75" customHeight="1">
      <c r="A106" s="56" t="n">
        <v>100</v>
      </c>
      <c r="B106" s="116" t="n">
        <v>46303</v>
      </c>
      <c r="C106" s="117" t="inlineStr">
        <is>
          <t>100/10</t>
        </is>
      </c>
      <c r="D106" s="118" t="n">
        <v>218799</v>
      </c>
      <c r="E106" s="104" t="n">
        <v>24.97</v>
      </c>
      <c r="F106" s="119" t="inlineStr">
        <is>
          <t>MOJINETE</t>
        </is>
      </c>
      <c r="G106" s="120" t="n">
        <v>51028</v>
      </c>
      <c r="H106" s="121" t="n"/>
      <c r="I106" s="77" t="n"/>
      <c r="J106" s="103" t="n">
        <v>24.97</v>
      </c>
      <c r="K106" s="122" t="n"/>
      <c r="L106" s="78" t="inlineStr">
        <is>
          <t>ROGER QUISPE MIRANDA</t>
        </is>
      </c>
      <c r="M106" s="71" t="inlineStr">
        <is>
          <t>MIGUEL SANDI</t>
        </is>
      </c>
      <c r="N106" s="74" t="inlineStr">
        <is>
          <t>2824 TEE</t>
        </is>
      </c>
      <c r="O106" s="73">
        <f>+O105+1</f>
        <v/>
      </c>
      <c r="Q106" s="51" t="n"/>
      <c r="R106" s="22" t="n"/>
      <c r="S106" s="45" t="n"/>
      <c r="T106" s="47" t="n"/>
      <c r="U106" s="69" t="n"/>
      <c r="V106" s="77" t="n"/>
      <c r="W106" s="77" t="n"/>
      <c r="X106" s="77" t="n"/>
      <c r="Y106" s="77" t="n"/>
    </row>
    <row r="107" ht="15.75" customHeight="1">
      <c r="A107" s="56" t="n">
        <v>101</v>
      </c>
      <c r="B107" s="116" t="n">
        <v>46303</v>
      </c>
      <c r="C107" s="117" t="inlineStr">
        <is>
          <t>101/10</t>
        </is>
      </c>
      <c r="D107" s="118" t="n">
        <v>218800</v>
      </c>
      <c r="E107" s="104" t="n">
        <v>24.698</v>
      </c>
      <c r="F107" s="119" t="inlineStr">
        <is>
          <t>MOJINETE</t>
        </is>
      </c>
      <c r="G107" s="120" t="n">
        <v>51028</v>
      </c>
      <c r="H107" s="121" t="n"/>
      <c r="I107" s="77" t="n"/>
      <c r="J107" s="103" t="n">
        <v>24.698</v>
      </c>
      <c r="K107" s="122" t="n"/>
      <c r="L107" s="78" t="inlineStr">
        <is>
          <t>ROGER QUISPE MIRANDA</t>
        </is>
      </c>
      <c r="M107" s="71" t="inlineStr">
        <is>
          <t>FERNANDO SANDI</t>
        </is>
      </c>
      <c r="N107" s="74" t="inlineStr">
        <is>
          <t>1497 DYL</t>
        </is>
      </c>
      <c r="O107" s="73">
        <f>+O106+1</f>
        <v/>
      </c>
      <c r="Q107" s="51" t="n"/>
      <c r="R107" s="22" t="n"/>
      <c r="S107" s="45" t="n"/>
      <c r="T107" s="47" t="n"/>
      <c r="U107" s="69" t="n"/>
      <c r="V107" s="77" t="n"/>
      <c r="W107" s="77" t="n"/>
      <c r="X107" s="77" t="n"/>
      <c r="Y107" s="77" t="n"/>
    </row>
    <row r="108" ht="15.75" customHeight="1">
      <c r="A108" s="56" t="n">
        <v>102</v>
      </c>
      <c r="B108" s="116" t="n">
        <v>46303</v>
      </c>
      <c r="C108" s="117" t="inlineStr">
        <is>
          <t>102/10</t>
        </is>
      </c>
      <c r="D108" s="118" t="n">
        <v>279001</v>
      </c>
      <c r="E108" s="104" t="n">
        <v>24.381</v>
      </c>
      <c r="F108" s="119" t="inlineStr">
        <is>
          <t>MOJINETE</t>
        </is>
      </c>
      <c r="G108" s="120" t="n">
        <v>51028</v>
      </c>
      <c r="H108" s="121" t="n"/>
      <c r="I108" s="77" t="n"/>
      <c r="J108" s="103" t="n">
        <v>24.381</v>
      </c>
      <c r="K108" s="122" t="n"/>
      <c r="L108" s="78" t="inlineStr">
        <is>
          <t>ROGER QUISPE MIRANDA</t>
        </is>
      </c>
      <c r="M108" s="71" t="inlineStr">
        <is>
          <t>EDGAR SANDI</t>
        </is>
      </c>
      <c r="N108" s="74" t="inlineStr">
        <is>
          <t>1117 LSA</t>
        </is>
      </c>
      <c r="O108" s="73">
        <f>+O107+1</f>
        <v/>
      </c>
      <c r="Q108" s="51" t="n"/>
      <c r="R108" s="22" t="n"/>
      <c r="S108" s="45" t="n"/>
      <c r="T108" s="47" t="n"/>
      <c r="U108" s="69" t="n"/>
      <c r="V108" s="77" t="n"/>
      <c r="W108" s="77" t="n"/>
      <c r="X108" s="77" t="n"/>
      <c r="Y108" s="77" t="n"/>
    </row>
    <row r="109" ht="15.75" customHeight="1">
      <c r="A109" s="56" t="n">
        <v>103</v>
      </c>
      <c r="B109" s="116" t="n">
        <v>46303</v>
      </c>
      <c r="C109" s="117" t="inlineStr">
        <is>
          <t>103/10</t>
        </is>
      </c>
      <c r="D109" s="118" t="n">
        <v>279002</v>
      </c>
      <c r="E109" s="104" t="n">
        <v>21.659</v>
      </c>
      <c r="F109" s="119" t="inlineStr">
        <is>
          <t>MOJINETE</t>
        </is>
      </c>
      <c r="G109" s="120" t="n">
        <v>51028</v>
      </c>
      <c r="H109" s="121" t="n"/>
      <c r="I109" s="77" t="n"/>
      <c r="J109" s="103" t="n">
        <v>21.659</v>
      </c>
      <c r="K109" s="122" t="n"/>
      <c r="L109" s="78" t="inlineStr">
        <is>
          <t>ROGER QUISPE MIRANDA</t>
        </is>
      </c>
      <c r="M109" s="71" t="inlineStr">
        <is>
          <t>ALFREDO SANDI</t>
        </is>
      </c>
      <c r="N109" s="74" t="inlineStr">
        <is>
          <t>2343 EKE</t>
        </is>
      </c>
      <c r="O109" s="73">
        <f>+O108+1</f>
        <v/>
      </c>
      <c r="Q109" s="51" t="n"/>
      <c r="R109" s="22" t="n"/>
      <c r="S109" s="45" t="n"/>
      <c r="T109" s="47" t="n"/>
      <c r="U109" s="69" t="n"/>
      <c r="V109" s="77" t="n"/>
      <c r="W109" s="77" t="n"/>
      <c r="X109" s="77" t="n"/>
      <c r="Y109" s="77" t="n"/>
    </row>
    <row r="110" ht="15.75" customHeight="1">
      <c r="A110" s="56" t="n">
        <v>104</v>
      </c>
      <c r="B110" s="116" t="n">
        <v>46303</v>
      </c>
      <c r="C110" s="117" t="inlineStr">
        <is>
          <t>104/10</t>
        </is>
      </c>
      <c r="D110" s="118" t="n">
        <v>279003</v>
      </c>
      <c r="E110" s="104" t="n">
        <v>22.929</v>
      </c>
      <c r="F110" s="119" t="inlineStr">
        <is>
          <t>MOJINETE</t>
        </is>
      </c>
      <c r="G110" s="120" t="n">
        <v>51028</v>
      </c>
      <c r="H110" s="121" t="n"/>
      <c r="I110" s="77" t="n"/>
      <c r="J110" s="103" t="n">
        <v>22.929</v>
      </c>
      <c r="K110" s="122" t="n"/>
      <c r="L110" s="78" t="inlineStr">
        <is>
          <t>ROGER QUISPE MIRANDA</t>
        </is>
      </c>
      <c r="M110" s="124" t="inlineStr">
        <is>
          <t>MARCO SANDI</t>
        </is>
      </c>
      <c r="N110" s="82" t="inlineStr">
        <is>
          <t>1264 FYT</t>
        </is>
      </c>
      <c r="O110" s="73">
        <f>+O109+1</f>
        <v/>
      </c>
      <c r="Q110" s="51" t="n"/>
      <c r="R110" s="22" t="n"/>
      <c r="S110" s="45" t="n"/>
      <c r="T110" s="47" t="n"/>
      <c r="U110" s="69" t="n"/>
      <c r="V110" s="77" t="n"/>
      <c r="W110" s="77" t="n"/>
      <c r="X110" s="77" t="n"/>
      <c r="Y110" s="77" t="n"/>
    </row>
    <row r="111" ht="15.75" customHeight="1">
      <c r="A111" s="56" t="n">
        <v>105</v>
      </c>
      <c r="B111" s="116" t="n">
        <v>46303</v>
      </c>
      <c r="C111" s="117" t="inlineStr">
        <is>
          <t>105/10</t>
        </is>
      </c>
      <c r="D111" s="118" t="n">
        <v>279004</v>
      </c>
      <c r="E111" s="104" t="n">
        <v>22.09</v>
      </c>
      <c r="F111" s="119" t="inlineStr">
        <is>
          <t>MOJINETE</t>
        </is>
      </c>
      <c r="G111" s="120" t="n">
        <v>51028</v>
      </c>
      <c r="H111" s="121" t="n"/>
      <c r="I111" s="77" t="n"/>
      <c r="J111" s="103" t="n">
        <v>22.09</v>
      </c>
      <c r="K111" s="122" t="n"/>
      <c r="L111" s="78" t="inlineStr">
        <is>
          <t>ROGER QUISPE MIRANDA</t>
        </is>
      </c>
      <c r="M111" s="124" t="inlineStr">
        <is>
          <t>IVER MURILLO</t>
        </is>
      </c>
      <c r="N111" s="82" t="inlineStr">
        <is>
          <t>1190 ITF</t>
        </is>
      </c>
      <c r="O111" s="73">
        <f>+O110+1</f>
        <v/>
      </c>
      <c r="Q111" s="51" t="n"/>
      <c r="R111" s="22" t="n"/>
      <c r="S111" s="45" t="n"/>
      <c r="T111" s="47" t="n"/>
      <c r="U111" s="69" t="n"/>
      <c r="V111" s="77" t="n"/>
      <c r="W111" s="77" t="n"/>
      <c r="X111" s="77" t="n"/>
      <c r="Y111" s="77" t="n"/>
    </row>
    <row r="112" ht="15.75" customHeight="1">
      <c r="A112" s="56" t="n">
        <v>106</v>
      </c>
      <c r="B112" s="116" t="n">
        <v>46303</v>
      </c>
      <c r="C112" s="117" t="inlineStr">
        <is>
          <t>106/10</t>
        </is>
      </c>
      <c r="D112" s="118" t="n">
        <v>279006</v>
      </c>
      <c r="E112" s="104" t="n">
        <v>22.702</v>
      </c>
      <c r="F112" s="119" t="inlineStr">
        <is>
          <t>MOJINETE</t>
        </is>
      </c>
      <c r="G112" s="120" t="n">
        <v>51028</v>
      </c>
      <c r="H112" s="121" t="n"/>
      <c r="I112" s="77" t="n"/>
      <c r="J112" s="103" t="n">
        <v>22.702</v>
      </c>
      <c r="K112" s="122" t="n"/>
      <c r="L112" s="78" t="inlineStr">
        <is>
          <t>ROGER QUISPE MIRANDA</t>
        </is>
      </c>
      <c r="M112" s="124" t="inlineStr">
        <is>
          <t>MARVIN RAMOS</t>
        </is>
      </c>
      <c r="N112" s="82" t="inlineStr">
        <is>
          <t>697 NPF</t>
        </is>
      </c>
      <c r="O112" s="73">
        <f>+O111+1</f>
        <v/>
      </c>
      <c r="Q112" s="51" t="n"/>
      <c r="R112" s="22" t="n"/>
      <c r="S112" s="45" t="n"/>
      <c r="T112" s="47" t="n"/>
      <c r="U112" s="69" t="n"/>
      <c r="V112" s="77" t="n"/>
      <c r="W112" s="77" t="n"/>
      <c r="X112" s="77" t="n"/>
      <c r="Y112" s="77" t="n"/>
    </row>
    <row r="113" ht="15.75" customHeight="1">
      <c r="A113" s="56" t="n">
        <v>107</v>
      </c>
      <c r="B113" s="116" t="n">
        <v>46303</v>
      </c>
      <c r="C113" s="117" t="inlineStr">
        <is>
          <t>107/10</t>
        </is>
      </c>
      <c r="D113" s="118" t="n">
        <v>279005</v>
      </c>
      <c r="E113" s="104" t="n">
        <v>25.152</v>
      </c>
      <c r="F113" s="119" t="inlineStr">
        <is>
          <t>MOJINETE</t>
        </is>
      </c>
      <c r="G113" s="120" t="n">
        <v>51028</v>
      </c>
      <c r="H113" s="121" t="n"/>
      <c r="I113" s="77" t="n"/>
      <c r="J113" s="103" t="n">
        <v>25.152</v>
      </c>
      <c r="K113" s="122" t="n"/>
      <c r="L113" s="78" t="inlineStr">
        <is>
          <t>ROGER QUISPE MIRANDA</t>
        </is>
      </c>
      <c r="M113" s="124" t="inlineStr">
        <is>
          <t>EDWIN SANDI</t>
        </is>
      </c>
      <c r="N113" s="82" t="inlineStr">
        <is>
          <t>2075 ZFB</t>
        </is>
      </c>
      <c r="O113" s="73">
        <f>+O112+1</f>
        <v/>
      </c>
      <c r="Q113" s="51" t="n"/>
      <c r="R113" s="22" t="n"/>
      <c r="S113" s="45" t="n"/>
      <c r="T113" s="47" t="n"/>
      <c r="U113" s="69" t="n"/>
      <c r="V113" s="77" t="n"/>
      <c r="W113" s="77" t="n"/>
      <c r="X113" s="77" t="n"/>
      <c r="Y113" s="77" t="n"/>
    </row>
    <row r="114" ht="15.75" customHeight="1">
      <c r="A114" s="56" t="n">
        <v>108</v>
      </c>
      <c r="B114" s="116" t="n">
        <v>46303</v>
      </c>
      <c r="C114" s="117" t="inlineStr">
        <is>
          <t>108/10</t>
        </is>
      </c>
      <c r="D114" s="118" t="n">
        <v>279007</v>
      </c>
      <c r="E114" s="104" t="n">
        <v>22.657</v>
      </c>
      <c r="F114" s="119" t="inlineStr">
        <is>
          <t>MOJINETE</t>
        </is>
      </c>
      <c r="G114" s="120" t="n">
        <v>51028</v>
      </c>
      <c r="H114" s="121" t="n"/>
      <c r="I114" s="77" t="n"/>
      <c r="J114" s="103" t="n">
        <v>22.657</v>
      </c>
      <c r="K114" s="122" t="n"/>
      <c r="L114" s="78" t="inlineStr">
        <is>
          <t>ROGER QUISPE MIRANDA</t>
        </is>
      </c>
      <c r="M114" s="124" t="inlineStr">
        <is>
          <t>FELIX VASQUEZ</t>
        </is>
      </c>
      <c r="N114" s="82" t="inlineStr">
        <is>
          <t>1529 HKX</t>
        </is>
      </c>
      <c r="O114" s="73">
        <f>+O113+1</f>
        <v/>
      </c>
      <c r="Q114" s="51" t="n"/>
      <c r="R114" s="22" t="n"/>
      <c r="S114" s="45" t="n"/>
      <c r="T114" s="47" t="n"/>
      <c r="U114" s="69" t="n"/>
      <c r="V114" s="77" t="n"/>
      <c r="W114" s="77" t="n"/>
      <c r="X114" s="77" t="n"/>
      <c r="Y114" s="77" t="n"/>
    </row>
    <row r="115" ht="15.75" customHeight="1">
      <c r="A115" s="56" t="n">
        <v>109</v>
      </c>
      <c r="B115" s="116" t="n">
        <v>46303</v>
      </c>
      <c r="C115" s="117" t="inlineStr">
        <is>
          <t>109/10</t>
        </is>
      </c>
      <c r="D115" s="118" t="n">
        <v>279008</v>
      </c>
      <c r="E115" s="104" t="n">
        <v>21.977</v>
      </c>
      <c r="F115" s="119" t="inlineStr">
        <is>
          <t>MOJINETE</t>
        </is>
      </c>
      <c r="G115" s="120" t="n">
        <v>51028</v>
      </c>
      <c r="H115" s="121" t="n"/>
      <c r="I115" s="77" t="n"/>
      <c r="J115" s="103" t="n">
        <v>21.977</v>
      </c>
      <c r="K115" s="122" t="n"/>
      <c r="L115" s="78" t="inlineStr">
        <is>
          <t>ROGER QUISPE MIRANDA</t>
        </is>
      </c>
      <c r="M115" s="124" t="inlineStr">
        <is>
          <t>WALTER CHOQUE</t>
        </is>
      </c>
      <c r="N115" s="125" t="inlineStr">
        <is>
          <t>598 ULI</t>
        </is>
      </c>
      <c r="O115" s="73">
        <f>+O114+1</f>
        <v/>
      </c>
      <c r="Q115" s="51" t="n"/>
      <c r="R115" s="22" t="n"/>
      <c r="S115" s="45" t="n"/>
      <c r="T115" s="47" t="n"/>
      <c r="U115" s="69" t="n"/>
      <c r="V115" s="77" t="n"/>
      <c r="W115" s="77" t="n"/>
      <c r="X115" s="77" t="n"/>
      <c r="Y115" s="77" t="n"/>
    </row>
    <row r="116" ht="15.75" customHeight="1">
      <c r="A116" s="56" t="n">
        <v>110</v>
      </c>
      <c r="B116" s="116" t="n">
        <v>46303</v>
      </c>
      <c r="C116" s="117" t="inlineStr">
        <is>
          <t>110/10</t>
        </is>
      </c>
      <c r="D116" s="118" t="n">
        <v>279009</v>
      </c>
      <c r="E116" s="104" t="n">
        <v>23.587</v>
      </c>
      <c r="F116" s="119" t="inlineStr">
        <is>
          <t>MOJINETE</t>
        </is>
      </c>
      <c r="G116" s="120" t="n">
        <v>51028</v>
      </c>
      <c r="H116" s="121" t="n"/>
      <c r="I116" s="77" t="n"/>
      <c r="J116" s="103" t="n">
        <v>23.587</v>
      </c>
      <c r="K116" s="122" t="n"/>
      <c r="L116" s="78" t="inlineStr">
        <is>
          <t>ROGER QUISPE MIRANDA</t>
        </is>
      </c>
      <c r="M116" s="124" t="inlineStr">
        <is>
          <t>VICENTE SAAVEDRA</t>
        </is>
      </c>
      <c r="N116" s="125" t="inlineStr">
        <is>
          <t>1447 TKH</t>
        </is>
      </c>
      <c r="O116" s="73">
        <f>+O115+1</f>
        <v/>
      </c>
      <c r="Q116" s="51" t="n"/>
      <c r="R116" s="22" t="n"/>
      <c r="S116" s="45" t="n"/>
      <c r="T116" s="47" t="n"/>
      <c r="U116" s="69" t="n"/>
      <c r="V116" s="77" t="n"/>
      <c r="W116" s="77" t="n"/>
      <c r="X116" s="77" t="n"/>
      <c r="Y116" s="77" t="n"/>
    </row>
    <row r="117" ht="15.75" customHeight="1">
      <c r="A117" s="56" t="n">
        <v>111</v>
      </c>
      <c r="B117" s="116" t="n">
        <v>46303</v>
      </c>
      <c r="C117" s="117" t="inlineStr">
        <is>
          <t>111/10</t>
        </is>
      </c>
      <c r="D117" s="118" t="n">
        <v>279010</v>
      </c>
      <c r="E117" s="104" t="n">
        <v>20.502</v>
      </c>
      <c r="F117" s="119" t="inlineStr">
        <is>
          <t>MOJINETE</t>
        </is>
      </c>
      <c r="G117" s="120" t="n">
        <v>51028</v>
      </c>
      <c r="H117" s="121" t="n"/>
      <c r="I117" s="77" t="n"/>
      <c r="J117" s="103" t="n">
        <v>20.502</v>
      </c>
      <c r="K117" s="122" t="n"/>
      <c r="L117" s="123" t="inlineStr">
        <is>
          <t>MIGUEL TIJRA</t>
        </is>
      </c>
      <c r="M117" s="124" t="inlineStr">
        <is>
          <t>HECTOR QUISPE</t>
        </is>
      </c>
      <c r="N117" s="125" t="inlineStr">
        <is>
          <t>2263 PKI</t>
        </is>
      </c>
      <c r="O117" s="73">
        <f>+O116+1</f>
        <v/>
      </c>
      <c r="Q117" s="51" t="n"/>
      <c r="R117" s="22" t="n"/>
      <c r="S117" s="45" t="n"/>
      <c r="T117" s="47" t="n"/>
      <c r="U117" s="69" t="n"/>
      <c r="V117" s="69">
        <f>+E117</f>
        <v/>
      </c>
      <c r="W117" s="77" t="n"/>
      <c r="X117" s="77" t="n"/>
      <c r="Y117" s="77" t="n"/>
    </row>
    <row r="118" ht="15.75" customHeight="1">
      <c r="A118" s="56" t="n">
        <v>112</v>
      </c>
      <c r="B118" s="116" t="n">
        <v>46303</v>
      </c>
      <c r="C118" s="117" t="inlineStr">
        <is>
          <t>112/10</t>
        </is>
      </c>
      <c r="D118" s="118" t="n">
        <v>279011</v>
      </c>
      <c r="E118" s="104" t="n">
        <v>22.158</v>
      </c>
      <c r="F118" s="119" t="inlineStr">
        <is>
          <t>MOJINETE</t>
        </is>
      </c>
      <c r="G118" s="120" t="n">
        <v>51028</v>
      </c>
      <c r="H118" s="121" t="n"/>
      <c r="I118" s="77" t="n"/>
      <c r="J118" s="103" t="n">
        <v>22.158</v>
      </c>
      <c r="K118" s="122" t="n"/>
      <c r="L118" s="123" t="inlineStr">
        <is>
          <t>ELVA GARCIA</t>
        </is>
      </c>
      <c r="M118" s="124" t="inlineStr">
        <is>
          <t>DANIEL HUAYTA</t>
        </is>
      </c>
      <c r="N118" s="125" t="inlineStr">
        <is>
          <t>700 ZZC</t>
        </is>
      </c>
      <c r="O118" s="73">
        <f>+O117+1</f>
        <v/>
      </c>
      <c r="Q118" s="51" t="n"/>
      <c r="R118" s="22" t="n"/>
      <c r="S118" s="45" t="n"/>
      <c r="T118" s="47" t="n"/>
      <c r="U118" s="69" t="n"/>
      <c r="V118" s="77" t="n"/>
      <c r="W118" s="69">
        <f>+E118</f>
        <v/>
      </c>
      <c r="X118" s="77" t="n"/>
      <c r="Y118" s="77" t="n"/>
    </row>
    <row r="119" ht="15.75" customHeight="1">
      <c r="A119" s="56" t="n">
        <v>113</v>
      </c>
      <c r="B119" s="116" t="n">
        <v>46304</v>
      </c>
      <c r="C119" s="117" t="inlineStr">
        <is>
          <t>113/10</t>
        </is>
      </c>
      <c r="D119" s="118" t="n"/>
      <c r="E119" s="104" t="n">
        <v>22.43</v>
      </c>
      <c r="F119" s="119" t="inlineStr">
        <is>
          <t>SAN PABLO</t>
        </is>
      </c>
      <c r="G119" s="120" t="n">
        <v>51015</v>
      </c>
      <c r="H119" s="121" t="n"/>
      <c r="I119" s="77" t="n"/>
      <c r="J119" s="103" t="n"/>
      <c r="K119" s="122" t="n">
        <v>22.43</v>
      </c>
      <c r="L119" s="123" t="inlineStr">
        <is>
          <t>ROGER QUISPE MIRANDA</t>
        </is>
      </c>
      <c r="M119" s="124" t="inlineStr">
        <is>
          <t>FELIPE GONZALES</t>
        </is>
      </c>
      <c r="N119" s="125" t="inlineStr">
        <is>
          <t>826 UUT</t>
        </is>
      </c>
      <c r="O119" s="73">
        <f>+O118+1</f>
        <v/>
      </c>
      <c r="Q119" s="51" t="n"/>
      <c r="R119" s="22" t="n"/>
      <c r="S119" s="45" t="n"/>
      <c r="T119" s="47" t="n"/>
      <c r="U119" s="69">
        <f>+E119</f>
        <v/>
      </c>
      <c r="V119" s="77" t="n"/>
      <c r="W119" s="77" t="n"/>
      <c r="X119" s="77" t="n"/>
      <c r="Y119" s="77" t="n"/>
    </row>
    <row r="120" ht="15.75" customHeight="1">
      <c r="A120" s="56" t="n">
        <v>114</v>
      </c>
      <c r="B120" s="116" t="n">
        <v>46304</v>
      </c>
      <c r="C120" s="117" t="inlineStr">
        <is>
          <t>114/10</t>
        </is>
      </c>
      <c r="D120" s="118" t="n"/>
      <c r="E120" s="104" t="n">
        <v>20.48</v>
      </c>
      <c r="F120" s="119" t="inlineStr">
        <is>
          <t>SAN PABLO</t>
        </is>
      </c>
      <c r="G120" s="120" t="n">
        <v>51015</v>
      </c>
      <c r="H120" s="121" t="n"/>
      <c r="I120" s="77" t="n"/>
      <c r="J120" s="103" t="n"/>
      <c r="K120" s="122" t="n">
        <v>20.48</v>
      </c>
      <c r="L120" s="123" t="inlineStr">
        <is>
          <t>ROGER QUISPE MIRANDA</t>
        </is>
      </c>
      <c r="M120" s="124" t="inlineStr">
        <is>
          <t>FAUSTO IBARRA</t>
        </is>
      </c>
      <c r="N120" s="125" t="inlineStr">
        <is>
          <t>820 NHX</t>
        </is>
      </c>
      <c r="O120" s="73">
        <f>+O119+1</f>
        <v/>
      </c>
      <c r="Q120" s="51" t="n"/>
      <c r="R120" s="22" t="n"/>
      <c r="S120" s="45" t="n"/>
      <c r="T120" s="47" t="n"/>
      <c r="U120" s="69" t="n"/>
      <c r="V120" s="77" t="n"/>
      <c r="W120" s="77" t="n"/>
      <c r="X120" s="69">
        <f>+E120</f>
        <v/>
      </c>
      <c r="Y120" s="77" t="n"/>
    </row>
    <row r="121" ht="15.75" customHeight="1">
      <c r="A121" s="56" t="n">
        <v>115</v>
      </c>
      <c r="B121" s="116" t="n">
        <v>46304</v>
      </c>
      <c r="C121" s="117" t="inlineStr">
        <is>
          <t>115/10</t>
        </is>
      </c>
      <c r="D121" s="118" t="n"/>
      <c r="E121" s="104" t="n">
        <v>21.863</v>
      </c>
      <c r="F121" s="119" t="inlineStr">
        <is>
          <t>SAN PABLO</t>
        </is>
      </c>
      <c r="G121" s="120" t="n">
        <v>51015</v>
      </c>
      <c r="H121" s="121" t="n"/>
      <c r="I121" s="77" t="n"/>
      <c r="J121" s="103" t="n"/>
      <c r="K121" s="122" t="n">
        <v>21.863</v>
      </c>
      <c r="L121" s="123" t="inlineStr">
        <is>
          <t>MIGUEL TIJRA</t>
        </is>
      </c>
      <c r="M121" s="124" t="inlineStr">
        <is>
          <t>WILFREDO ARUQUIPA</t>
        </is>
      </c>
      <c r="N121" s="125" t="inlineStr">
        <is>
          <t>1630 UGE</t>
        </is>
      </c>
      <c r="O121" s="73">
        <f>+O120+1</f>
        <v/>
      </c>
      <c r="Q121" s="51" t="n"/>
      <c r="R121" s="22" t="n"/>
      <c r="S121" s="45" t="n"/>
      <c r="T121" s="47" t="n"/>
      <c r="U121" s="69" t="n"/>
      <c r="V121" s="77" t="n"/>
      <c r="W121" s="77" t="n"/>
      <c r="X121" s="77" t="n"/>
      <c r="Y121" s="69">
        <f>+E121</f>
        <v/>
      </c>
    </row>
    <row r="122" ht="15.75" customHeight="1">
      <c r="A122" s="56" t="n">
        <v>116</v>
      </c>
      <c r="B122" s="116" t="n">
        <v>46304</v>
      </c>
      <c r="C122" s="117" t="inlineStr">
        <is>
          <t>116/10</t>
        </is>
      </c>
      <c r="D122" s="118" t="n"/>
      <c r="E122" s="104" t="n">
        <v>25.741</v>
      </c>
      <c r="F122" s="119" t="inlineStr">
        <is>
          <t>SAN PABLO</t>
        </is>
      </c>
      <c r="G122" s="120" t="n">
        <v>51015</v>
      </c>
      <c r="H122" s="121" t="n"/>
      <c r="I122" s="77" t="n"/>
      <c r="J122" s="103" t="n"/>
      <c r="K122" s="122" t="n">
        <v>25.741</v>
      </c>
      <c r="L122" s="123" t="inlineStr">
        <is>
          <t>EMUSA</t>
        </is>
      </c>
      <c r="M122" s="124" t="inlineStr">
        <is>
          <t>EDWIN TAPIA</t>
        </is>
      </c>
      <c r="N122" s="125" t="inlineStr">
        <is>
          <t>6657 DYE</t>
        </is>
      </c>
      <c r="O122" s="73">
        <f>+O121+1</f>
        <v/>
      </c>
      <c r="Q122" s="51" t="n"/>
      <c r="R122" s="22" t="n"/>
      <c r="S122" s="45" t="n"/>
      <c r="T122" s="47" t="n"/>
      <c r="U122" s="69" t="n"/>
      <c r="V122" s="77" t="n"/>
      <c r="W122" s="77" t="n"/>
      <c r="X122" s="77" t="n"/>
      <c r="Y122" s="77" t="n"/>
    </row>
    <row r="123" ht="15.75" customHeight="1">
      <c r="A123" s="56" t="n">
        <v>117</v>
      </c>
      <c r="B123" s="116" t="n">
        <v>46304</v>
      </c>
      <c r="C123" s="117" t="inlineStr">
        <is>
          <t>117/10</t>
        </is>
      </c>
      <c r="D123" s="118" t="n"/>
      <c r="E123" s="104" t="n">
        <v>27.079</v>
      </c>
      <c r="F123" s="119" t="inlineStr">
        <is>
          <t>SAN PABLO</t>
        </is>
      </c>
      <c r="G123" s="120" t="n">
        <v>51015</v>
      </c>
      <c r="H123" s="121" t="n"/>
      <c r="I123" s="77" t="n"/>
      <c r="J123" s="103" t="n"/>
      <c r="K123" s="122" t="n">
        <v>27.079</v>
      </c>
      <c r="L123" s="123" t="inlineStr">
        <is>
          <t>EMUSA</t>
        </is>
      </c>
      <c r="M123" s="124" t="inlineStr">
        <is>
          <t>JUAN NINA</t>
        </is>
      </c>
      <c r="N123" s="125" t="inlineStr">
        <is>
          <t>6657 DZH</t>
        </is>
      </c>
      <c r="O123" s="73">
        <f>+O122+1</f>
        <v/>
      </c>
      <c r="Q123" s="51" t="n"/>
      <c r="R123" s="22" t="n"/>
      <c r="S123" s="45" t="n"/>
      <c r="T123" s="47" t="n"/>
      <c r="U123" s="69" t="n"/>
      <c r="V123" s="69">
        <f>+E123</f>
        <v/>
      </c>
      <c r="W123" s="77" t="n"/>
      <c r="X123" s="77" t="n"/>
      <c r="Y123" s="77" t="n"/>
    </row>
    <row r="124" ht="15.75" customHeight="1">
      <c r="A124" s="56" t="n">
        <v>118</v>
      </c>
      <c r="B124" s="116" t="n">
        <v>46304</v>
      </c>
      <c r="C124" s="117" t="inlineStr">
        <is>
          <t>118/10</t>
        </is>
      </c>
      <c r="D124" s="118" t="n"/>
      <c r="E124" s="105" t="n">
        <v>24.993</v>
      </c>
      <c r="F124" s="119" t="inlineStr">
        <is>
          <t>SAN PABLO</t>
        </is>
      </c>
      <c r="G124" s="120" t="n">
        <v>51015</v>
      </c>
      <c r="H124" s="121" t="n"/>
      <c r="I124" s="77" t="n"/>
      <c r="J124" s="103" t="n"/>
      <c r="K124" s="122" t="n">
        <v>24.993</v>
      </c>
      <c r="L124" s="123" t="inlineStr">
        <is>
          <t>EMUSA</t>
        </is>
      </c>
      <c r="M124" s="124" t="inlineStr">
        <is>
          <t>OVIDIO RAMOS</t>
        </is>
      </c>
      <c r="N124" s="125" t="inlineStr">
        <is>
          <t>6480 DDH</t>
        </is>
      </c>
      <c r="O124" s="73">
        <f>+O123+1</f>
        <v/>
      </c>
      <c r="Q124" s="51" t="n"/>
      <c r="R124" s="22" t="n"/>
      <c r="S124" s="45" t="n"/>
      <c r="T124" s="47" t="n"/>
      <c r="U124" s="69" t="n"/>
      <c r="V124" s="77" t="n"/>
      <c r="W124" s="69">
        <f>+E124</f>
        <v/>
      </c>
      <c r="X124" s="77" t="n"/>
      <c r="Y124" s="77" t="n"/>
    </row>
    <row r="125" ht="15.75" customHeight="1">
      <c r="A125" s="56" t="n">
        <v>119</v>
      </c>
      <c r="B125" s="116" t="n">
        <v>46304</v>
      </c>
      <c r="C125" s="117" t="inlineStr">
        <is>
          <t>119/10</t>
        </is>
      </c>
      <c r="D125" s="118" t="n"/>
      <c r="E125" s="104" t="n">
        <v>26.785</v>
      </c>
      <c r="F125" s="119" t="inlineStr">
        <is>
          <t>SAN PABLO</t>
        </is>
      </c>
      <c r="G125" s="120" t="n">
        <v>51015</v>
      </c>
      <c r="H125" s="121" t="n"/>
      <c r="I125" s="77" t="n"/>
      <c r="J125" s="103" t="n"/>
      <c r="K125" s="122" t="n">
        <v>26.785</v>
      </c>
      <c r="L125" s="123" t="inlineStr">
        <is>
          <t>EMUSA</t>
        </is>
      </c>
      <c r="M125" s="124" t="inlineStr">
        <is>
          <t>EYMAR VICENTE</t>
        </is>
      </c>
      <c r="N125" s="125" t="inlineStr">
        <is>
          <t>6480 DBB</t>
        </is>
      </c>
      <c r="O125" s="73">
        <f>+O124+1</f>
        <v/>
      </c>
      <c r="Q125" s="51" t="n"/>
      <c r="R125" s="22" t="n"/>
      <c r="S125" s="45" t="n"/>
      <c r="T125" s="47" t="n"/>
      <c r="U125" s="69">
        <f>+E125</f>
        <v/>
      </c>
      <c r="V125" s="77" t="n"/>
      <c r="W125" s="77" t="n"/>
      <c r="X125" s="77" t="n"/>
      <c r="Y125" s="77" t="n"/>
    </row>
    <row r="126" ht="15.75" customHeight="1">
      <c r="A126" s="56" t="n">
        <v>120</v>
      </c>
      <c r="B126" s="116" t="n">
        <v>46304</v>
      </c>
      <c r="C126" s="117" t="inlineStr">
        <is>
          <t>120/10</t>
        </is>
      </c>
      <c r="D126" s="118" t="n"/>
      <c r="E126" s="104" t="n">
        <v>28.236</v>
      </c>
      <c r="F126" s="119" t="inlineStr">
        <is>
          <t>SAN PABLO</t>
        </is>
      </c>
      <c r="G126" s="120" t="n">
        <v>51015</v>
      </c>
      <c r="H126" s="121" t="n"/>
      <c r="I126" s="77" t="n"/>
      <c r="J126" s="103" t="n"/>
      <c r="K126" s="122" t="n">
        <v>28.236</v>
      </c>
      <c r="L126" s="123" t="inlineStr">
        <is>
          <t>EMUSA</t>
        </is>
      </c>
      <c r="M126" s="124" t="inlineStr">
        <is>
          <t>SIMON CRUZ</t>
        </is>
      </c>
      <c r="N126" s="125" t="inlineStr">
        <is>
          <t>6422 LZD</t>
        </is>
      </c>
      <c r="O126" s="73">
        <f>+O125+1</f>
        <v/>
      </c>
      <c r="Q126" s="51" t="n"/>
      <c r="R126" s="22" t="n"/>
      <c r="S126" s="45" t="n"/>
      <c r="T126" s="47" t="n"/>
      <c r="U126" s="69" t="n"/>
      <c r="V126" s="77" t="n"/>
      <c r="W126" s="77" t="n"/>
      <c r="X126" s="69">
        <f>+E126</f>
        <v/>
      </c>
      <c r="Y126" s="77" t="n"/>
    </row>
    <row r="127" ht="15.75" customHeight="1">
      <c r="A127" s="56" t="n">
        <v>121</v>
      </c>
      <c r="B127" s="116" t="n">
        <v>46304</v>
      </c>
      <c r="C127" s="117" t="inlineStr">
        <is>
          <t>121/10</t>
        </is>
      </c>
      <c r="D127" s="118" t="n"/>
      <c r="E127" s="104" t="n">
        <v>27.964</v>
      </c>
      <c r="F127" s="119" t="inlineStr">
        <is>
          <t>SAN PABLO</t>
        </is>
      </c>
      <c r="G127" s="120" t="n">
        <v>51015</v>
      </c>
      <c r="H127" s="121" t="n"/>
      <c r="I127" s="77" t="n"/>
      <c r="J127" s="103" t="n"/>
      <c r="K127" s="122" t="n">
        <v>27.964</v>
      </c>
      <c r="L127" s="123" t="inlineStr">
        <is>
          <t>ROGER QUISPE MIRANDA</t>
        </is>
      </c>
      <c r="M127" s="124" t="inlineStr">
        <is>
          <t>VICENTE SAAVEDRA</t>
        </is>
      </c>
      <c r="N127" s="125" t="inlineStr">
        <is>
          <t>1447 TKH</t>
        </is>
      </c>
      <c r="O127" s="73">
        <f>+O126+1</f>
        <v/>
      </c>
      <c r="Q127" s="51" t="n"/>
      <c r="R127" s="22" t="n"/>
      <c r="S127" s="45" t="n"/>
      <c r="T127" s="47" t="n"/>
      <c r="U127" s="69" t="n"/>
      <c r="V127" s="77" t="n"/>
      <c r="W127" s="77" t="n"/>
      <c r="X127" s="77" t="n"/>
      <c r="Y127" s="69">
        <f>+E127</f>
        <v/>
      </c>
    </row>
    <row r="128" ht="15.75" customHeight="1">
      <c r="A128" s="56" t="n">
        <v>122</v>
      </c>
      <c r="B128" s="116" t="n">
        <v>46304</v>
      </c>
      <c r="C128" s="117" t="inlineStr">
        <is>
          <t>122/10</t>
        </is>
      </c>
      <c r="D128" s="118" t="n"/>
      <c r="E128" s="104" t="n">
        <v>25.492</v>
      </c>
      <c r="F128" s="119" t="inlineStr">
        <is>
          <t>SAN PABLO</t>
        </is>
      </c>
      <c r="G128" s="120" t="n">
        <v>51015</v>
      </c>
      <c r="H128" s="121" t="n"/>
      <c r="I128" s="77" t="n"/>
      <c r="J128" s="103" t="n"/>
      <c r="K128" s="122" t="n">
        <v>25.492</v>
      </c>
      <c r="L128" s="123" t="inlineStr">
        <is>
          <t>ROGER QUISPE MIRANDA</t>
        </is>
      </c>
      <c r="M128" s="124" t="inlineStr">
        <is>
          <t>WALTER CHOQUE</t>
        </is>
      </c>
      <c r="N128" s="125" t="inlineStr">
        <is>
          <t>598 ULI</t>
        </is>
      </c>
      <c r="O128" s="73">
        <f>+O127+1</f>
        <v/>
      </c>
      <c r="Q128" s="51" t="n"/>
      <c r="R128" s="22" t="n"/>
      <c r="S128" s="45" t="n"/>
      <c r="T128" s="47" t="n"/>
      <c r="U128" s="69" t="n"/>
      <c r="V128" s="77" t="n"/>
      <c r="W128" s="77" t="n"/>
      <c r="X128" s="77" t="n"/>
      <c r="Y128" s="77" t="n"/>
    </row>
    <row r="129" ht="15.75" customHeight="1">
      <c r="A129" s="56" t="n">
        <v>123</v>
      </c>
      <c r="B129" s="116" t="n">
        <v>46304</v>
      </c>
      <c r="C129" s="117" t="inlineStr">
        <is>
          <t>123/10</t>
        </is>
      </c>
      <c r="D129" s="118" t="n"/>
      <c r="E129" s="104" t="n">
        <v>23.451</v>
      </c>
      <c r="F129" s="119" t="inlineStr">
        <is>
          <t>SAN PABLO</t>
        </is>
      </c>
      <c r="G129" s="120" t="n">
        <v>51015</v>
      </c>
      <c r="H129" s="121" t="n"/>
      <c r="I129" s="77" t="n"/>
      <c r="J129" s="103" t="n"/>
      <c r="K129" s="122" t="n">
        <v>23.451</v>
      </c>
      <c r="L129" s="123" t="inlineStr">
        <is>
          <t>MIGUEL TIJRA</t>
        </is>
      </c>
      <c r="M129" s="124" t="inlineStr">
        <is>
          <t>HECTOR QUISPE</t>
        </is>
      </c>
      <c r="N129" s="125" t="inlineStr">
        <is>
          <t>2263 PKI</t>
        </is>
      </c>
      <c r="O129" s="73">
        <f>+O128+1</f>
        <v/>
      </c>
      <c r="Q129" s="51" t="n"/>
      <c r="R129" s="22" t="n"/>
      <c r="S129" s="45" t="n"/>
      <c r="T129" s="47" t="n"/>
      <c r="U129" s="69" t="n"/>
      <c r="V129" s="69">
        <f>+E129</f>
        <v/>
      </c>
      <c r="W129" s="77" t="n"/>
      <c r="X129" s="77" t="n"/>
      <c r="Y129" s="77" t="n"/>
    </row>
    <row r="130" ht="15.75" customHeight="1">
      <c r="A130" s="56" t="n">
        <v>124</v>
      </c>
      <c r="B130" s="116" t="n">
        <v>46304</v>
      </c>
      <c r="C130" s="117" t="inlineStr">
        <is>
          <t>124/10</t>
        </is>
      </c>
      <c r="D130" s="118" t="n"/>
      <c r="E130" s="104" t="n">
        <v>26.558</v>
      </c>
      <c r="F130" s="119" t="inlineStr">
        <is>
          <t>SAN PABLO</t>
        </is>
      </c>
      <c r="G130" s="120" t="n">
        <v>51015</v>
      </c>
      <c r="H130" s="121" t="n"/>
      <c r="I130" s="77" t="n"/>
      <c r="J130" s="103" t="n"/>
      <c r="K130" s="122" t="n">
        <v>26.558</v>
      </c>
      <c r="L130" s="123" t="inlineStr">
        <is>
          <t>ROGER QUISPE MIRANDA</t>
        </is>
      </c>
      <c r="M130" s="124" t="inlineStr">
        <is>
          <t>FELIX VASQUEZ</t>
        </is>
      </c>
      <c r="N130" s="125" t="inlineStr">
        <is>
          <t>1529 HKX</t>
        </is>
      </c>
      <c r="O130" s="73">
        <f>+O129+1</f>
        <v/>
      </c>
      <c r="Q130" s="51" t="n"/>
      <c r="R130" s="22" t="n"/>
      <c r="S130" s="45" t="n"/>
      <c r="T130" s="47" t="n"/>
      <c r="U130" s="69" t="n"/>
      <c r="V130" s="77" t="n"/>
      <c r="W130" s="69">
        <f>+E130</f>
        <v/>
      </c>
      <c r="X130" s="77" t="n"/>
      <c r="Y130" s="77" t="n"/>
    </row>
    <row r="131" ht="15.75" customHeight="1">
      <c r="A131" s="56" t="n">
        <v>125</v>
      </c>
      <c r="B131" s="116" t="n">
        <v>46304</v>
      </c>
      <c r="C131" s="117" t="inlineStr">
        <is>
          <t>125/10</t>
        </is>
      </c>
      <c r="D131" s="118" t="n"/>
      <c r="E131" s="104" t="n">
        <v>25.22</v>
      </c>
      <c r="F131" s="119" t="inlineStr">
        <is>
          <t>SAN PABLO</t>
        </is>
      </c>
      <c r="G131" s="120" t="n">
        <v>51015</v>
      </c>
      <c r="H131" s="121" t="n"/>
      <c r="I131" s="77" t="n"/>
      <c r="J131" s="103" t="n"/>
      <c r="K131" s="122" t="n">
        <v>25.22</v>
      </c>
      <c r="L131" s="123" t="inlineStr">
        <is>
          <t>ROGER QUISPE MIRANDA</t>
        </is>
      </c>
      <c r="M131" s="124" t="inlineStr">
        <is>
          <t>MARVIN RAMOS</t>
        </is>
      </c>
      <c r="N131" s="125" t="inlineStr">
        <is>
          <t>697 NPF</t>
        </is>
      </c>
      <c r="O131" s="73">
        <f>+O130+1</f>
        <v/>
      </c>
      <c r="Q131" s="51" t="n"/>
      <c r="R131" s="22" t="n"/>
      <c r="S131" s="45" t="n"/>
      <c r="T131" s="47" t="n"/>
      <c r="U131" s="69">
        <f>+E131</f>
        <v/>
      </c>
      <c r="V131" s="77" t="n"/>
      <c r="W131" s="77" t="n"/>
      <c r="X131" s="77" t="n"/>
      <c r="Y131" s="77" t="n"/>
    </row>
    <row r="132" ht="15.75" customHeight="1">
      <c r="A132" s="56" t="n">
        <v>126</v>
      </c>
      <c r="B132" s="116" t="n">
        <v>46304</v>
      </c>
      <c r="C132" s="117" t="inlineStr">
        <is>
          <t>126/10</t>
        </is>
      </c>
      <c r="D132" s="118" t="n"/>
      <c r="E132" s="104" t="n">
        <v>27.737</v>
      </c>
      <c r="F132" s="119" t="inlineStr">
        <is>
          <t>SAN PABLO</t>
        </is>
      </c>
      <c r="G132" s="120" t="n">
        <v>51015</v>
      </c>
      <c r="H132" s="121" t="n"/>
      <c r="I132" s="77" t="n"/>
      <c r="J132" s="103" t="n"/>
      <c r="K132" s="122" t="n">
        <v>27.737</v>
      </c>
      <c r="L132" s="123" t="inlineStr">
        <is>
          <t>ROGER QUISPE MIRANDA</t>
        </is>
      </c>
      <c r="M132" s="124" t="inlineStr">
        <is>
          <t>EDWIN SANDI</t>
        </is>
      </c>
      <c r="N132" s="125" t="inlineStr">
        <is>
          <t>2075 ZFB</t>
        </is>
      </c>
      <c r="O132" s="73">
        <f>+O131+1</f>
        <v/>
      </c>
      <c r="Q132" s="51" t="n"/>
      <c r="R132" s="22" t="n"/>
      <c r="S132" s="45" t="n"/>
      <c r="T132" s="47" t="n"/>
      <c r="U132" s="69" t="n"/>
      <c r="V132" s="77" t="n"/>
      <c r="W132" s="77" t="n"/>
      <c r="X132" s="77" t="n"/>
      <c r="Y132" s="77" t="n"/>
    </row>
    <row r="133" ht="15.75" customHeight="1">
      <c r="A133" s="56" t="n">
        <v>127</v>
      </c>
      <c r="B133" s="116" t="n">
        <v>46304</v>
      </c>
      <c r="C133" s="117" t="inlineStr">
        <is>
          <t>127/10</t>
        </is>
      </c>
      <c r="D133" s="118" t="n"/>
      <c r="E133" s="104" t="n">
        <v>26.581</v>
      </c>
      <c r="F133" s="119" t="inlineStr">
        <is>
          <t>SAN PABLO</t>
        </is>
      </c>
      <c r="G133" s="120" t="n">
        <v>51015</v>
      </c>
      <c r="H133" s="121" t="n"/>
      <c r="I133" s="77" t="n"/>
      <c r="J133" s="103" t="n"/>
      <c r="K133" s="122" t="n">
        <v>26.581</v>
      </c>
      <c r="L133" s="123" t="inlineStr">
        <is>
          <t>ROGER QUISPE MIRANDA</t>
        </is>
      </c>
      <c r="M133" s="124" t="inlineStr">
        <is>
          <t>IVER MURILLO</t>
        </is>
      </c>
      <c r="N133" s="125" t="inlineStr">
        <is>
          <t>1190 ITF</t>
        </is>
      </c>
      <c r="O133" s="73">
        <f>+O132+1</f>
        <v/>
      </c>
      <c r="Q133" s="51" t="n"/>
      <c r="R133" s="22" t="n"/>
      <c r="S133" s="45" t="n"/>
      <c r="T133" s="47" t="n"/>
      <c r="U133" s="69" t="n"/>
      <c r="V133" s="77" t="n"/>
      <c r="W133" s="77" t="n"/>
      <c r="X133" s="77" t="n"/>
      <c r="Y133" s="77" t="n"/>
    </row>
    <row r="134" ht="15.75" customHeight="1">
      <c r="A134" s="56" t="n">
        <v>128</v>
      </c>
      <c r="B134" s="116" t="n">
        <v>46304</v>
      </c>
      <c r="C134" s="117" t="inlineStr">
        <is>
          <t>128/10</t>
        </is>
      </c>
      <c r="D134" s="118" t="n"/>
      <c r="E134" s="104" t="n">
        <v>26.581</v>
      </c>
      <c r="F134" s="119" t="inlineStr">
        <is>
          <t>SAN PABLO</t>
        </is>
      </c>
      <c r="G134" s="120" t="n">
        <v>51015</v>
      </c>
      <c r="H134" s="121" t="n"/>
      <c r="I134" s="77" t="n"/>
      <c r="J134" s="103" t="n"/>
      <c r="K134" s="122" t="n">
        <v>26.581</v>
      </c>
      <c r="L134" s="123" t="inlineStr">
        <is>
          <t>ROGER QUISPE MIRANDA</t>
        </is>
      </c>
      <c r="M134" s="124" t="inlineStr">
        <is>
          <t>MARCO SANDI</t>
        </is>
      </c>
      <c r="N134" s="125" t="inlineStr">
        <is>
          <t>1264 FYT</t>
        </is>
      </c>
      <c r="O134" s="73">
        <f>+O133+1</f>
        <v/>
      </c>
      <c r="Q134" s="51" t="n"/>
      <c r="R134" s="22" t="n"/>
      <c r="S134" s="45" t="n"/>
      <c r="T134" s="47" t="n"/>
      <c r="U134" s="69" t="n"/>
      <c r="V134" s="77" t="n"/>
      <c r="W134" s="77" t="n"/>
      <c r="X134" s="77" t="n"/>
      <c r="Y134" s="77" t="n"/>
    </row>
    <row r="135" ht="15.75" customHeight="1">
      <c r="A135" s="56" t="n">
        <v>129</v>
      </c>
      <c r="B135" s="116" t="n">
        <v>46304</v>
      </c>
      <c r="C135" s="117" t="inlineStr">
        <is>
          <t>129/10</t>
        </is>
      </c>
      <c r="D135" s="118" t="n"/>
      <c r="E135" s="104" t="n">
        <v>26.399</v>
      </c>
      <c r="F135" s="119" t="inlineStr">
        <is>
          <t>SAN PABLO</t>
        </is>
      </c>
      <c r="G135" s="120" t="n">
        <v>51015</v>
      </c>
      <c r="H135" s="121" t="n"/>
      <c r="I135" s="77" t="n"/>
      <c r="J135" s="103" t="n"/>
      <c r="K135" s="122" t="n">
        <v>26.399</v>
      </c>
      <c r="L135" s="123" t="inlineStr">
        <is>
          <t>ROGER QUISPE MIRANDA</t>
        </is>
      </c>
      <c r="M135" s="124" t="inlineStr">
        <is>
          <t>ALFREDO SANDI</t>
        </is>
      </c>
      <c r="N135" s="125" t="inlineStr">
        <is>
          <t>2343 EKE</t>
        </is>
      </c>
      <c r="O135" s="73">
        <f>+O134+1</f>
        <v/>
      </c>
      <c r="Q135" s="51" t="n"/>
      <c r="R135" s="22" t="n"/>
      <c r="S135" s="45" t="n"/>
      <c r="T135" s="47" t="n"/>
      <c r="U135" s="69" t="n"/>
      <c r="V135" s="77" t="n"/>
      <c r="W135" s="77" t="n"/>
      <c r="X135" s="77" t="n"/>
      <c r="Y135" s="77" t="n"/>
    </row>
    <row r="136" ht="15.75" customHeight="1">
      <c r="A136" s="56" t="n">
        <v>130</v>
      </c>
      <c r="B136" s="116" t="n">
        <v>46304</v>
      </c>
      <c r="C136" s="117" t="inlineStr">
        <is>
          <t>130/10</t>
        </is>
      </c>
      <c r="D136" s="118" t="n"/>
      <c r="E136" s="104" t="n">
        <v>28.032</v>
      </c>
      <c r="F136" s="119" t="inlineStr">
        <is>
          <t>SAN PABLO</t>
        </is>
      </c>
      <c r="G136" s="120" t="n">
        <v>51015</v>
      </c>
      <c r="H136" s="121" t="n"/>
      <c r="I136" s="77" t="n"/>
      <c r="J136" s="103" t="n"/>
      <c r="K136" s="122" t="n">
        <v>28.032</v>
      </c>
      <c r="L136" s="123" t="inlineStr">
        <is>
          <t>ROGER QUISPE MIRANDA</t>
        </is>
      </c>
      <c r="M136" s="124" t="inlineStr">
        <is>
          <t>EDGAR SANDI</t>
        </is>
      </c>
      <c r="N136" s="125" t="inlineStr">
        <is>
          <t>1117 LSA</t>
        </is>
      </c>
      <c r="O136" s="73">
        <f>+O135+1</f>
        <v/>
      </c>
      <c r="Q136" s="51" t="n"/>
      <c r="R136" s="22" t="n"/>
      <c r="S136" s="45" t="n"/>
      <c r="T136" s="47" t="n"/>
      <c r="U136" s="69" t="n"/>
      <c r="V136" s="77" t="n"/>
      <c r="W136" s="77" t="n"/>
      <c r="X136" s="77" t="n"/>
      <c r="Y136" s="69">
        <f>+E136</f>
        <v/>
      </c>
    </row>
    <row r="137" ht="15.75" customHeight="1">
      <c r="A137" s="56" t="n">
        <v>131</v>
      </c>
      <c r="B137" s="116" t="n">
        <v>46304</v>
      </c>
      <c r="C137" s="117" t="inlineStr">
        <is>
          <t>131/10</t>
        </is>
      </c>
      <c r="D137" s="118" t="n"/>
      <c r="E137" s="104" t="n">
        <v>26.717</v>
      </c>
      <c r="F137" s="119" t="inlineStr">
        <is>
          <t>SAN PABLO</t>
        </is>
      </c>
      <c r="G137" s="120" t="n">
        <v>51015</v>
      </c>
      <c r="H137" s="121" t="n"/>
      <c r="I137" s="77" t="n"/>
      <c r="J137" s="103" t="n"/>
      <c r="K137" s="122" t="n">
        <v>26.717</v>
      </c>
      <c r="L137" s="123" t="inlineStr">
        <is>
          <t>ROGER QUISPE MIRANDA</t>
        </is>
      </c>
      <c r="M137" s="124" t="inlineStr">
        <is>
          <t>FERNANDO SANDI</t>
        </is>
      </c>
      <c r="N137" s="125" t="inlineStr">
        <is>
          <t>1497 DYL</t>
        </is>
      </c>
      <c r="O137" s="73">
        <f>+O136+1</f>
        <v/>
      </c>
      <c r="Q137" s="51" t="n"/>
      <c r="R137" s="22" t="n"/>
      <c r="S137" s="45" t="n"/>
      <c r="T137" s="47" t="n"/>
      <c r="U137" s="69" t="n"/>
      <c r="V137" s="69">
        <f>+E137</f>
        <v/>
      </c>
      <c r="W137" s="77" t="n"/>
      <c r="X137" s="77" t="n"/>
      <c r="Y137" s="77" t="n"/>
    </row>
    <row r="138" ht="15.75" customHeight="1">
      <c r="A138" s="56" t="n">
        <v>132</v>
      </c>
      <c r="B138" s="116" t="n">
        <v>46304</v>
      </c>
      <c r="C138" s="117" t="inlineStr">
        <is>
          <t>132/10</t>
        </is>
      </c>
      <c r="D138" s="118" t="n"/>
      <c r="E138" s="104" t="n">
        <v>27.51</v>
      </c>
      <c r="F138" s="119" t="inlineStr">
        <is>
          <t>SAN PABLO</t>
        </is>
      </c>
      <c r="G138" s="120" t="n">
        <v>51015</v>
      </c>
      <c r="H138" s="121" t="n"/>
      <c r="I138" s="77" t="n"/>
      <c r="J138" s="103" t="n"/>
      <c r="K138" s="122" t="n">
        <v>27.51</v>
      </c>
      <c r="L138" s="123" t="inlineStr">
        <is>
          <t>ROGER QUISPE MIRANDA</t>
        </is>
      </c>
      <c r="M138" s="124" t="inlineStr">
        <is>
          <t>MIGUEL SANDI</t>
        </is>
      </c>
      <c r="N138" s="125" t="inlineStr">
        <is>
          <t>2824 TEE</t>
        </is>
      </c>
      <c r="O138" s="73">
        <f>+O137+1</f>
        <v/>
      </c>
      <c r="Q138" s="51" t="n"/>
      <c r="R138" s="22" t="n"/>
      <c r="S138" s="45" t="n"/>
      <c r="T138" s="47" t="n"/>
      <c r="U138" s="69" t="n"/>
      <c r="V138" s="77" t="n"/>
      <c r="W138" s="69">
        <f>+E138</f>
        <v/>
      </c>
      <c r="X138" s="77" t="n"/>
      <c r="Y138" s="77" t="n"/>
    </row>
    <row r="139" ht="15.75" customHeight="1">
      <c r="A139" s="56" t="n">
        <v>133</v>
      </c>
      <c r="B139" s="116" t="n">
        <v>46305</v>
      </c>
      <c r="C139" s="117" t="inlineStr">
        <is>
          <t>133/10</t>
        </is>
      </c>
      <c r="D139" s="118" t="n"/>
      <c r="E139" s="104" t="n">
        <v>24.562</v>
      </c>
      <c r="F139" s="119" t="inlineStr">
        <is>
          <t>SAN PABLO</t>
        </is>
      </c>
      <c r="G139" s="120" t="n">
        <v>51015</v>
      </c>
      <c r="H139" s="121" t="n"/>
      <c r="I139" s="77" t="n"/>
      <c r="J139" s="103" t="n"/>
      <c r="K139" s="122" t="n">
        <v>24.562</v>
      </c>
      <c r="L139" s="123" t="inlineStr">
        <is>
          <t>ELVA GARCIA</t>
        </is>
      </c>
      <c r="M139" s="124" t="inlineStr">
        <is>
          <t>DANIEL HUAYTA</t>
        </is>
      </c>
      <c r="N139" s="125" t="inlineStr">
        <is>
          <t>700 ZZC</t>
        </is>
      </c>
      <c r="O139" s="73">
        <f>+O138+1</f>
        <v/>
      </c>
      <c r="Q139" s="51" t="n"/>
      <c r="R139" s="22" t="n"/>
      <c r="S139" s="45" t="n"/>
      <c r="T139" s="47" t="n"/>
      <c r="U139" s="69">
        <f>+E139</f>
        <v/>
      </c>
      <c r="V139" s="77" t="n"/>
      <c r="W139" s="77" t="n"/>
      <c r="X139" s="77" t="n"/>
      <c r="Y139" s="77" t="n"/>
    </row>
    <row r="140" ht="15.75" customHeight="1">
      <c r="A140" s="56" t="n">
        <v>134</v>
      </c>
      <c r="B140" s="116" t="n">
        <v>46305</v>
      </c>
      <c r="C140" s="117" t="inlineStr">
        <is>
          <t>134/10</t>
        </is>
      </c>
      <c r="D140" s="118" t="n"/>
      <c r="E140" s="103" t="n">
        <v>19.641</v>
      </c>
      <c r="F140" s="119" t="inlineStr">
        <is>
          <t>MOJINETE</t>
        </is>
      </c>
      <c r="G140" s="120" t="n">
        <v>51028</v>
      </c>
      <c r="H140" s="121" t="n"/>
      <c r="I140" s="77" t="n"/>
      <c r="J140" s="103" t="n">
        <v>19.641</v>
      </c>
      <c r="K140" s="122" t="n"/>
      <c r="L140" s="123" t="inlineStr">
        <is>
          <t>ROGER QUISPE MIRANDA</t>
        </is>
      </c>
      <c r="M140" s="124" t="inlineStr">
        <is>
          <t>FELIPE GONZALES</t>
        </is>
      </c>
      <c r="N140" s="125" t="inlineStr">
        <is>
          <t>826 UUT</t>
        </is>
      </c>
      <c r="O140" s="73">
        <f>+O139+1</f>
        <v/>
      </c>
      <c r="Q140" s="51" t="n"/>
      <c r="R140" s="22" t="n"/>
      <c r="S140" s="45" t="n"/>
      <c r="T140" s="47" t="n"/>
      <c r="U140" s="69" t="n"/>
      <c r="V140" s="77" t="n"/>
      <c r="W140" s="77" t="n"/>
      <c r="X140" s="69">
        <f>+E140</f>
        <v/>
      </c>
      <c r="Y140" s="77" t="n"/>
    </row>
    <row r="141" ht="15.75" customHeight="1">
      <c r="A141" s="56" t="n">
        <v>135</v>
      </c>
      <c r="B141" s="116" t="n">
        <v>46305</v>
      </c>
      <c r="C141" s="117" t="inlineStr">
        <is>
          <t>135/10</t>
        </is>
      </c>
      <c r="D141" s="118" t="n"/>
      <c r="E141" s="103" t="n">
        <v>19.913</v>
      </c>
      <c r="F141" s="119" t="inlineStr">
        <is>
          <t>MOJINETE</t>
        </is>
      </c>
      <c r="G141" s="120" t="n">
        <v>51028</v>
      </c>
      <c r="H141" s="121" t="n"/>
      <c r="I141" s="77" t="n"/>
      <c r="J141" s="103" t="n">
        <v>19.913</v>
      </c>
      <c r="K141" s="122" t="n"/>
      <c r="L141" s="123" t="inlineStr">
        <is>
          <t>MIGUEL TIJRA</t>
        </is>
      </c>
      <c r="M141" s="124" t="inlineStr">
        <is>
          <t>WILFREDO ARUQUIPA</t>
        </is>
      </c>
      <c r="N141" s="125" t="inlineStr">
        <is>
          <t>1630 UGE</t>
        </is>
      </c>
      <c r="O141" s="73">
        <f>+O140+1</f>
        <v/>
      </c>
      <c r="Q141" s="51" t="n"/>
      <c r="R141" s="22" t="n"/>
      <c r="S141" s="45" t="n"/>
      <c r="T141" s="47" t="n"/>
      <c r="U141" s="69" t="n"/>
      <c r="V141" s="77" t="n"/>
      <c r="W141" s="77" t="n"/>
      <c r="X141" s="77" t="n"/>
      <c r="Y141" s="69">
        <f>+E141</f>
        <v/>
      </c>
    </row>
    <row r="142" ht="15.75" customHeight="1">
      <c r="A142" s="56" t="n">
        <v>136</v>
      </c>
      <c r="B142" s="116" t="n">
        <v>46305</v>
      </c>
      <c r="C142" s="117" t="inlineStr">
        <is>
          <t>136/10</t>
        </is>
      </c>
      <c r="D142" s="118" t="n"/>
      <c r="E142" s="103" t="n">
        <v>20.661</v>
      </c>
      <c r="F142" s="119" t="inlineStr">
        <is>
          <t>MOJINETE</t>
        </is>
      </c>
      <c r="G142" s="120" t="n">
        <v>51028</v>
      </c>
      <c r="H142" s="121" t="n"/>
      <c r="I142" s="77" t="n"/>
      <c r="J142" s="103" t="n">
        <v>20.661</v>
      </c>
      <c r="K142" s="122" t="n"/>
      <c r="L142" s="123" t="inlineStr">
        <is>
          <t>ROGER QUISPE MIRANDA</t>
        </is>
      </c>
      <c r="M142" s="124" t="inlineStr">
        <is>
          <t>FAUSTO IBARRA</t>
        </is>
      </c>
      <c r="N142" s="125" t="inlineStr">
        <is>
          <t>820 NHX</t>
        </is>
      </c>
      <c r="O142" s="73">
        <f>+O141+1</f>
        <v/>
      </c>
      <c r="Q142" s="51" t="n"/>
      <c r="R142" s="22" t="n"/>
      <c r="S142" s="45" t="n"/>
      <c r="T142" s="47" t="n"/>
      <c r="U142" s="69" t="n"/>
      <c r="V142" s="77" t="n"/>
      <c r="W142" s="77" t="n"/>
      <c r="X142" s="77" t="n"/>
      <c r="Y142" s="77" t="n"/>
    </row>
    <row r="143" ht="15.75" customHeight="1">
      <c r="A143" s="56" t="n">
        <v>137</v>
      </c>
      <c r="B143" s="116" t="n">
        <v>46305</v>
      </c>
      <c r="C143" s="117" t="inlineStr">
        <is>
          <t>137/10</t>
        </is>
      </c>
      <c r="D143" s="118" t="n"/>
      <c r="E143" s="104" t="n">
        <v>20.707</v>
      </c>
      <c r="F143" s="119" t="inlineStr">
        <is>
          <t>MOJINETE</t>
        </is>
      </c>
      <c r="G143" s="120" t="n">
        <v>51028</v>
      </c>
      <c r="H143" s="121" t="n"/>
      <c r="I143" s="77" t="n"/>
      <c r="J143" s="103" t="n">
        <v>20.707</v>
      </c>
      <c r="K143" s="122" t="n"/>
      <c r="L143" s="123" t="inlineStr">
        <is>
          <t>MIGUEL TIJRA</t>
        </is>
      </c>
      <c r="M143" s="124" t="inlineStr">
        <is>
          <t>JESUS COPA</t>
        </is>
      </c>
      <c r="N143" s="125" t="inlineStr">
        <is>
          <t>1387 LGH</t>
        </is>
      </c>
      <c r="O143" s="73">
        <f>+O142+1</f>
        <v/>
      </c>
      <c r="Q143" s="51" t="n"/>
      <c r="R143" s="22" t="n"/>
      <c r="S143" s="45" t="n"/>
      <c r="T143" s="47" t="n"/>
      <c r="U143" s="69" t="n"/>
      <c r="V143" s="77" t="n"/>
      <c r="W143" s="77" t="n"/>
      <c r="X143" s="77" t="n"/>
      <c r="Y143" s="77" t="n"/>
    </row>
    <row r="144" ht="15.75" customHeight="1">
      <c r="A144" s="56" t="n">
        <v>138</v>
      </c>
      <c r="B144" s="116" t="n">
        <v>46305</v>
      </c>
      <c r="C144" s="117" t="inlineStr">
        <is>
          <t>138/10</t>
        </is>
      </c>
      <c r="D144" s="118" t="n"/>
      <c r="E144" s="104" t="n">
        <v>23.428</v>
      </c>
      <c r="F144" s="119" t="inlineStr">
        <is>
          <t>MOJINETE</t>
        </is>
      </c>
      <c r="G144" s="120" t="n">
        <v>51028</v>
      </c>
      <c r="H144" s="121" t="n"/>
      <c r="I144" s="77" t="n"/>
      <c r="J144" s="103" t="n">
        <v>23.428</v>
      </c>
      <c r="K144" s="122" t="n"/>
      <c r="L144" s="123" t="inlineStr">
        <is>
          <t>MIGUEL TIJRA</t>
        </is>
      </c>
      <c r="M144" s="124" t="inlineStr">
        <is>
          <t>HECTOR QUISPE</t>
        </is>
      </c>
      <c r="N144" s="125" t="inlineStr">
        <is>
          <t>2263 PKI</t>
        </is>
      </c>
      <c r="O144" s="73">
        <f>+O143+1</f>
        <v/>
      </c>
      <c r="Q144" s="51" t="n"/>
      <c r="R144" s="22" t="n"/>
      <c r="S144" s="45" t="n"/>
      <c r="T144" s="47" t="n"/>
      <c r="U144" s="69" t="n"/>
      <c r="V144" s="77" t="n"/>
      <c r="W144" s="69">
        <f>+E144</f>
        <v/>
      </c>
      <c r="X144" s="77" t="n"/>
      <c r="Y144" s="77" t="n"/>
    </row>
    <row r="145" ht="15.75" customHeight="1">
      <c r="A145" s="56" t="n">
        <v>139</v>
      </c>
      <c r="B145" s="116" t="n">
        <v>46305</v>
      </c>
      <c r="C145" s="117" t="inlineStr">
        <is>
          <t>139/10</t>
        </is>
      </c>
      <c r="D145" s="118" t="n"/>
      <c r="E145" s="104" t="n">
        <v>25.696</v>
      </c>
      <c r="F145" s="119" t="inlineStr">
        <is>
          <t>MOJINETE</t>
        </is>
      </c>
      <c r="G145" s="120" t="n">
        <v>51028</v>
      </c>
      <c r="H145" s="121" t="n"/>
      <c r="I145" s="77" t="n"/>
      <c r="J145" s="103" t="n">
        <v>25.696</v>
      </c>
      <c r="K145" s="122" t="n"/>
      <c r="L145" s="123" t="inlineStr">
        <is>
          <t>ROGER QUISPE MIRANDA</t>
        </is>
      </c>
      <c r="M145" s="124" t="inlineStr">
        <is>
          <t>WALTER CHOQUE</t>
        </is>
      </c>
      <c r="N145" s="125" t="inlineStr">
        <is>
          <t>598 ULI</t>
        </is>
      </c>
      <c r="O145" s="73">
        <f>+O144+1</f>
        <v/>
      </c>
      <c r="Q145" s="51" t="n"/>
      <c r="R145" s="22" t="n"/>
      <c r="S145" s="45" t="n"/>
      <c r="T145" s="47" t="n"/>
      <c r="U145" s="69">
        <f>+E145</f>
        <v/>
      </c>
      <c r="V145" s="77" t="n"/>
      <c r="W145" s="77" t="n"/>
      <c r="X145" s="77" t="n"/>
      <c r="Y145" s="77" t="n"/>
    </row>
    <row r="146" ht="15.75" customHeight="1">
      <c r="A146" s="56" t="n">
        <v>140</v>
      </c>
      <c r="B146" s="116" t="n">
        <v>46305</v>
      </c>
      <c r="C146" s="117" t="inlineStr">
        <is>
          <t>140/10</t>
        </is>
      </c>
      <c r="D146" s="118" t="n"/>
      <c r="E146" s="104" t="n">
        <v>25.379</v>
      </c>
      <c r="F146" s="119" t="inlineStr">
        <is>
          <t>MOJINETE</t>
        </is>
      </c>
      <c r="G146" s="120" t="n">
        <v>51028</v>
      </c>
      <c r="H146" s="121" t="n"/>
      <c r="I146" s="77" t="n"/>
      <c r="J146" s="103" t="n">
        <v>25.379</v>
      </c>
      <c r="K146" s="122" t="n"/>
      <c r="L146" s="123" t="inlineStr">
        <is>
          <t>ROGER QUISPE MIRANDA</t>
        </is>
      </c>
      <c r="M146" s="124" t="inlineStr">
        <is>
          <t>VICENTE SAAVEDRA</t>
        </is>
      </c>
      <c r="N146" s="125" t="inlineStr">
        <is>
          <t>1447 TKH</t>
        </is>
      </c>
      <c r="O146" s="73">
        <f>+O145+1</f>
        <v/>
      </c>
      <c r="Q146" s="51" t="n"/>
      <c r="R146" s="22" t="n"/>
      <c r="S146" s="45" t="n"/>
      <c r="T146" s="47" t="n"/>
      <c r="U146" s="69" t="n"/>
      <c r="V146" s="77" t="n"/>
      <c r="W146" s="77" t="n"/>
      <c r="X146" s="69">
        <f>+E146</f>
        <v/>
      </c>
      <c r="Y146" s="77" t="n"/>
    </row>
    <row r="147" ht="15.75" customHeight="1">
      <c r="A147" s="56" t="n">
        <v>141</v>
      </c>
      <c r="B147" s="116" t="n">
        <v>46305</v>
      </c>
      <c r="C147" s="117" t="inlineStr">
        <is>
          <t>141/10</t>
        </is>
      </c>
      <c r="D147" s="118" t="n"/>
      <c r="E147" s="104" t="n">
        <v>23.723</v>
      </c>
      <c r="F147" s="119" t="inlineStr">
        <is>
          <t>MOJINETE</t>
        </is>
      </c>
      <c r="G147" s="120" t="n">
        <v>51028</v>
      </c>
      <c r="H147" s="121" t="n"/>
      <c r="I147" s="77" t="n"/>
      <c r="J147" s="103" t="n">
        <v>23.723</v>
      </c>
      <c r="K147" s="122" t="n"/>
      <c r="L147" s="123" t="inlineStr">
        <is>
          <t>ROGER QUISPE MIRANDA</t>
        </is>
      </c>
      <c r="M147" s="124" t="inlineStr">
        <is>
          <t>IVER MURILLO</t>
        </is>
      </c>
      <c r="N147" s="125" t="inlineStr">
        <is>
          <t>1190 ITF</t>
        </is>
      </c>
      <c r="O147" s="73">
        <f>+O146+1</f>
        <v/>
      </c>
      <c r="Q147" s="51" t="n"/>
      <c r="R147" s="22" t="n"/>
      <c r="S147" s="45" t="n"/>
      <c r="T147" s="47" t="n"/>
      <c r="U147" s="69" t="n"/>
      <c r="V147" s="77" t="n"/>
      <c r="W147" s="77" t="n"/>
      <c r="X147" s="77" t="n"/>
      <c r="Y147" s="69">
        <f>+E147</f>
        <v/>
      </c>
    </row>
    <row r="148" ht="15.75" customHeight="1">
      <c r="A148" s="56" t="n">
        <v>142</v>
      </c>
      <c r="B148" s="116" t="n">
        <v>46305</v>
      </c>
      <c r="C148" s="117" t="inlineStr">
        <is>
          <t>142/10</t>
        </is>
      </c>
      <c r="D148" s="118" t="n"/>
      <c r="E148" s="104" t="n">
        <v>26.558</v>
      </c>
      <c r="F148" s="119" t="inlineStr">
        <is>
          <t>MOJINETE</t>
        </is>
      </c>
      <c r="G148" s="120" t="n">
        <v>51028</v>
      </c>
      <c r="H148" s="121" t="n"/>
      <c r="I148" s="77" t="n"/>
      <c r="J148" s="103" t="n">
        <v>26.558</v>
      </c>
      <c r="K148" s="122" t="n"/>
      <c r="L148" s="123" t="inlineStr">
        <is>
          <t>ROGER QUISPE MIRANDA</t>
        </is>
      </c>
      <c r="M148" s="124" t="inlineStr">
        <is>
          <t>EDGAR SANDI</t>
        </is>
      </c>
      <c r="N148" s="125" t="inlineStr">
        <is>
          <t>1117 LSA</t>
        </is>
      </c>
      <c r="O148" s="73">
        <f>+O147+1</f>
        <v/>
      </c>
      <c r="Q148" s="51" t="n"/>
      <c r="R148" s="22" t="n"/>
      <c r="S148" s="45" t="n"/>
      <c r="T148" s="47" t="n"/>
      <c r="U148" s="69">
        <f>+E148</f>
        <v/>
      </c>
      <c r="V148" s="77" t="n"/>
      <c r="W148" s="77" t="n"/>
      <c r="X148" s="77" t="n"/>
      <c r="Y148" s="77" t="n"/>
    </row>
    <row r="149" ht="15.75" customHeight="1">
      <c r="A149" s="56" t="n">
        <v>143</v>
      </c>
      <c r="B149" s="116" t="n">
        <v>46305</v>
      </c>
      <c r="C149" s="117" t="inlineStr">
        <is>
          <t>143/10</t>
        </is>
      </c>
      <c r="D149" s="118" t="n"/>
      <c r="E149" s="104" t="n">
        <v>25.265</v>
      </c>
      <c r="F149" s="119" t="inlineStr">
        <is>
          <t>MOJINETE</t>
        </is>
      </c>
      <c r="G149" s="120" t="n">
        <v>51028</v>
      </c>
      <c r="H149" s="121" t="n"/>
      <c r="I149" s="77" t="n"/>
      <c r="J149" s="103" t="n">
        <v>25.265</v>
      </c>
      <c r="K149" s="122" t="n"/>
      <c r="L149" s="123" t="inlineStr">
        <is>
          <t>ROGER QUISPE MIRANDA</t>
        </is>
      </c>
      <c r="M149" s="124" t="inlineStr">
        <is>
          <t>FERNANDO SANDI</t>
        </is>
      </c>
      <c r="N149" s="125" t="inlineStr">
        <is>
          <t>1497 DYL</t>
        </is>
      </c>
      <c r="O149" s="73">
        <f>+O148+1</f>
        <v/>
      </c>
      <c r="Q149" s="51" t="n"/>
      <c r="R149" s="22" t="n"/>
      <c r="S149" s="45" t="n"/>
      <c r="T149" s="47" t="n"/>
      <c r="U149" s="69" t="n"/>
      <c r="V149" s="77" t="n"/>
      <c r="W149" s="77" t="n"/>
      <c r="X149" s="77" t="n"/>
      <c r="Y149" s="77" t="n"/>
    </row>
    <row r="150" ht="15.75" customHeight="1">
      <c r="A150" s="56" t="n">
        <v>144</v>
      </c>
      <c r="B150" s="116" t="n">
        <v>46305</v>
      </c>
      <c r="C150" s="117" t="inlineStr">
        <is>
          <t>144/10</t>
        </is>
      </c>
      <c r="D150" s="118" t="n"/>
      <c r="E150" s="104" t="n">
        <v>23.836</v>
      </c>
      <c r="F150" s="119" t="inlineStr">
        <is>
          <t>MOJINETE</t>
        </is>
      </c>
      <c r="G150" s="120" t="n">
        <v>51028</v>
      </c>
      <c r="H150" s="121" t="n"/>
      <c r="I150" s="77" t="n"/>
      <c r="J150" s="103" t="n">
        <v>23.836</v>
      </c>
      <c r="K150" s="122" t="n"/>
      <c r="L150" s="123" t="inlineStr">
        <is>
          <t>ELVA GARCIA</t>
        </is>
      </c>
      <c r="M150" s="124" t="inlineStr">
        <is>
          <t>DANIEL HUAYTA</t>
        </is>
      </c>
      <c r="N150" s="125" t="inlineStr">
        <is>
          <t>700 ZZC</t>
        </is>
      </c>
      <c r="O150" s="73">
        <f>+O149+1</f>
        <v/>
      </c>
      <c r="Q150" s="51" t="n"/>
      <c r="R150" s="22" t="n"/>
      <c r="S150" s="45" t="n"/>
      <c r="T150" s="47" t="n"/>
      <c r="U150" s="69">
        <f>+E150</f>
        <v/>
      </c>
      <c r="V150" s="77" t="n"/>
      <c r="W150" s="77" t="n"/>
      <c r="X150" s="77" t="n"/>
      <c r="Y150" s="77" t="n"/>
    </row>
    <row r="151" ht="15.75" customHeight="1">
      <c r="A151" s="56" t="n">
        <v>145</v>
      </c>
      <c r="B151" s="116" t="n">
        <v>46306</v>
      </c>
      <c r="C151" s="117" t="inlineStr">
        <is>
          <t>145/10</t>
        </is>
      </c>
      <c r="D151" s="118" t="n"/>
      <c r="E151" s="103" t="n">
        <v>24.834</v>
      </c>
      <c r="F151" s="119" t="inlineStr">
        <is>
          <t>MOJINETE</t>
        </is>
      </c>
      <c r="G151" s="120" t="n">
        <v>51028</v>
      </c>
      <c r="H151" s="121" t="n"/>
      <c r="I151" s="77" t="n"/>
      <c r="J151" s="103" t="n">
        <v>24.834</v>
      </c>
      <c r="K151" s="122" t="n"/>
      <c r="L151" s="123" t="inlineStr">
        <is>
          <t>ELVA GARCIA</t>
        </is>
      </c>
      <c r="M151" s="124" t="inlineStr">
        <is>
          <t>DANIEL HUAYTA</t>
        </is>
      </c>
      <c r="N151" s="125" t="inlineStr">
        <is>
          <t>700 ZZC</t>
        </is>
      </c>
      <c r="O151" s="73">
        <f>+O150+1</f>
        <v/>
      </c>
      <c r="Q151" s="51" t="n"/>
      <c r="R151" s="22" t="n"/>
      <c r="S151" s="45" t="n"/>
      <c r="T151" s="47" t="n"/>
      <c r="U151" s="69" t="n"/>
      <c r="V151" s="77" t="n"/>
      <c r="W151" s="77" t="n"/>
      <c r="X151" s="77" t="n"/>
      <c r="Y151" s="77" t="n"/>
    </row>
    <row r="152" ht="15.75" customHeight="1">
      <c r="A152" s="56" t="n">
        <v>146</v>
      </c>
      <c r="B152" s="116" t="n">
        <v>46307</v>
      </c>
      <c r="C152" s="117" t="inlineStr">
        <is>
          <t>146/10</t>
        </is>
      </c>
      <c r="D152" s="118" t="n"/>
      <c r="E152" s="103" t="n">
        <v>22.612</v>
      </c>
      <c r="F152" s="119" t="inlineStr">
        <is>
          <t>MOJINETE</t>
        </is>
      </c>
      <c r="G152" s="120" t="n">
        <v>51028</v>
      </c>
      <c r="H152" s="121" t="n"/>
      <c r="I152" s="69" t="n">
        <v>22.612</v>
      </c>
      <c r="J152" s="103" t="n"/>
      <c r="K152" s="122" t="n"/>
      <c r="L152" s="123" t="inlineStr">
        <is>
          <t>MIGUEL TIJRA</t>
        </is>
      </c>
      <c r="M152" s="124" t="inlineStr">
        <is>
          <t>HECTOR QUISPE</t>
        </is>
      </c>
      <c r="N152" s="125" t="inlineStr">
        <is>
          <t>2263 PKI</t>
        </is>
      </c>
      <c r="O152" s="73">
        <f>+O151+1</f>
        <v/>
      </c>
      <c r="Q152" s="51" t="n"/>
      <c r="R152" s="22" t="n"/>
      <c r="S152" s="45" t="n"/>
      <c r="T152" s="47" t="n"/>
      <c r="U152" s="69" t="n"/>
      <c r="V152" s="77" t="n"/>
      <c r="W152" s="77" t="n"/>
      <c r="X152" s="77" t="n"/>
      <c r="Y152" s="77" t="n"/>
    </row>
    <row r="153" ht="15.75" customHeight="1">
      <c r="A153" s="56" t="n">
        <v>147</v>
      </c>
      <c r="B153" s="116" t="n">
        <v>46307</v>
      </c>
      <c r="C153" s="117" t="inlineStr">
        <is>
          <t>147/10</t>
        </is>
      </c>
      <c r="D153" s="118" t="n"/>
      <c r="E153" s="103" t="n">
        <v>24.381</v>
      </c>
      <c r="F153" s="119" t="inlineStr">
        <is>
          <t>MOJINETE</t>
        </is>
      </c>
      <c r="G153" s="120" t="n">
        <v>51028</v>
      </c>
      <c r="H153" s="121" t="n"/>
      <c r="I153" s="69" t="n">
        <v>24.381</v>
      </c>
      <c r="J153" s="103" t="n"/>
      <c r="K153" s="122" t="n"/>
      <c r="L153" s="123" t="inlineStr">
        <is>
          <t>MIGUEL TIJRA</t>
        </is>
      </c>
      <c r="M153" s="124" t="inlineStr">
        <is>
          <t>WILFREDO ARUQUIPA</t>
        </is>
      </c>
      <c r="N153" s="125" t="inlineStr">
        <is>
          <t>1630 UGE</t>
        </is>
      </c>
      <c r="O153" s="73">
        <f>+O152+1</f>
        <v/>
      </c>
      <c r="Q153" s="51" t="n"/>
      <c r="R153" s="22" t="n"/>
      <c r="S153" s="45" t="n"/>
      <c r="T153" s="47" t="n"/>
      <c r="U153" s="69" t="n"/>
      <c r="V153" s="77" t="n"/>
      <c r="W153" s="77" t="n"/>
      <c r="X153" s="77" t="n"/>
      <c r="Y153" s="77" t="n"/>
    </row>
    <row r="154" ht="15.75" customHeight="1">
      <c r="A154" s="56" t="n">
        <v>148</v>
      </c>
      <c r="B154" s="116" t="n">
        <v>46307</v>
      </c>
      <c r="C154" s="117" t="inlineStr">
        <is>
          <t>148/10</t>
        </is>
      </c>
      <c r="D154" s="118" t="n"/>
      <c r="E154" s="103" t="n">
        <v>25.651</v>
      </c>
      <c r="F154" s="119" t="inlineStr">
        <is>
          <t>MOJINETE</t>
        </is>
      </c>
      <c r="G154" s="120" t="n">
        <v>51028</v>
      </c>
      <c r="H154" s="121" t="n"/>
      <c r="I154" s="69" t="n">
        <v>25.651</v>
      </c>
      <c r="J154" s="103" t="n"/>
      <c r="K154" s="122" t="n"/>
      <c r="L154" s="123" t="inlineStr">
        <is>
          <t>EMUSA</t>
        </is>
      </c>
      <c r="M154" s="124" t="inlineStr">
        <is>
          <t>JUAN NINA</t>
        </is>
      </c>
      <c r="N154" s="125" t="inlineStr">
        <is>
          <t>6657 DZH</t>
        </is>
      </c>
      <c r="O154" s="73">
        <f>+O153+1</f>
        <v/>
      </c>
      <c r="Q154" s="51" t="n"/>
      <c r="R154" s="22" t="n"/>
      <c r="S154" s="45" t="n"/>
      <c r="T154" s="47" t="n"/>
      <c r="U154" s="69" t="n"/>
      <c r="V154" s="77" t="n"/>
      <c r="W154" s="77" t="n"/>
      <c r="X154" s="69">
        <f>+E154</f>
        <v/>
      </c>
      <c r="Y154" s="77" t="n"/>
    </row>
    <row r="155" ht="15.75" customHeight="1">
      <c r="A155" s="56" t="n">
        <v>149</v>
      </c>
      <c r="B155" s="116" t="n">
        <v>46307</v>
      </c>
      <c r="C155" s="117" t="inlineStr">
        <is>
          <t>149/10</t>
        </is>
      </c>
      <c r="D155" s="118" t="n"/>
      <c r="E155" s="103" t="n">
        <v>25.197</v>
      </c>
      <c r="F155" s="119" t="inlineStr">
        <is>
          <t>MOJINETE</t>
        </is>
      </c>
      <c r="G155" s="120" t="n">
        <v>51028</v>
      </c>
      <c r="H155" s="121" t="n"/>
      <c r="I155" s="69" t="n">
        <v>25.197</v>
      </c>
      <c r="J155" s="103" t="n"/>
      <c r="K155" s="122" t="n"/>
      <c r="L155" s="123" t="inlineStr">
        <is>
          <t>EMUSA</t>
        </is>
      </c>
      <c r="M155" s="124" t="inlineStr">
        <is>
          <t>EDWIN TAPIA</t>
        </is>
      </c>
      <c r="N155" s="125" t="inlineStr">
        <is>
          <t>6657 DYE</t>
        </is>
      </c>
      <c r="O155" s="73">
        <f>+O154+1</f>
        <v/>
      </c>
      <c r="Q155" s="51" t="n"/>
      <c r="R155" s="22" t="n"/>
      <c r="S155" s="45" t="n"/>
      <c r="T155" s="47" t="n"/>
      <c r="U155" s="69" t="n"/>
      <c r="V155" s="77" t="n"/>
      <c r="W155" s="77" t="n"/>
      <c r="X155" s="77" t="n"/>
      <c r="Y155" s="69">
        <f>+E155</f>
        <v/>
      </c>
    </row>
    <row r="156" ht="15.75" customHeight="1">
      <c r="A156" s="56" t="n">
        <v>150</v>
      </c>
      <c r="B156" s="116" t="n">
        <v>46307</v>
      </c>
      <c r="C156" s="117" t="inlineStr">
        <is>
          <t>150/10</t>
        </is>
      </c>
      <c r="D156" s="118" t="n"/>
      <c r="E156" s="103" t="n">
        <v>22.952</v>
      </c>
      <c r="F156" s="119" t="inlineStr">
        <is>
          <t>MOJINETE</t>
        </is>
      </c>
      <c r="G156" s="120" t="n">
        <v>51028</v>
      </c>
      <c r="H156" s="121" t="n"/>
      <c r="I156" s="69" t="n">
        <v>22.952</v>
      </c>
      <c r="J156" s="103" t="n"/>
      <c r="K156" s="122" t="n"/>
      <c r="L156" s="123" t="inlineStr">
        <is>
          <t>MIGUEL TIJRA</t>
        </is>
      </c>
      <c r="M156" s="124" t="inlineStr">
        <is>
          <t>JESUS COPA</t>
        </is>
      </c>
      <c r="N156" s="125" t="inlineStr">
        <is>
          <t>1387 LGH</t>
        </is>
      </c>
      <c r="O156" s="73">
        <f>+O155+1</f>
        <v/>
      </c>
      <c r="Q156" s="51" t="n"/>
      <c r="R156" s="22" t="n"/>
      <c r="S156" s="45" t="n"/>
      <c r="T156" s="47" t="n"/>
      <c r="U156" s="69" t="n"/>
      <c r="V156" s="77" t="n"/>
      <c r="W156" s="77" t="n"/>
      <c r="X156" s="77" t="n"/>
      <c r="Y156" s="77" t="n"/>
    </row>
    <row r="157" ht="15.75" customHeight="1">
      <c r="A157" s="56" t="n">
        <v>151</v>
      </c>
      <c r="B157" s="116" t="n">
        <v>46307</v>
      </c>
      <c r="C157" s="117" t="inlineStr">
        <is>
          <t>151/10</t>
        </is>
      </c>
      <c r="D157" s="118" t="n">
        <v>279085</v>
      </c>
      <c r="E157" s="103" t="n">
        <v>28.327</v>
      </c>
      <c r="F157" s="119" t="inlineStr">
        <is>
          <t>SAN PABLO</t>
        </is>
      </c>
      <c r="G157" s="120" t="n">
        <v>51015</v>
      </c>
      <c r="H157" s="121" t="n"/>
      <c r="I157" s="77" t="n"/>
      <c r="J157" s="103" t="n"/>
      <c r="K157" s="122" t="n">
        <v>28.327</v>
      </c>
      <c r="L157" s="123" t="inlineStr">
        <is>
          <t>ROGER QUISPE MIRANDA</t>
        </is>
      </c>
      <c r="M157" s="124" t="inlineStr">
        <is>
          <t>MIGUEL SANDI</t>
        </is>
      </c>
      <c r="N157" s="125" t="inlineStr">
        <is>
          <t>2824 TEE</t>
        </is>
      </c>
      <c r="O157" s="73">
        <f>+O156+1</f>
        <v/>
      </c>
      <c r="Q157" s="51" t="n"/>
      <c r="R157" s="22" t="n"/>
      <c r="S157" s="45" t="n"/>
      <c r="T157" s="47" t="n"/>
      <c r="U157" s="69" t="n"/>
      <c r="V157" s="77" t="n"/>
      <c r="W157" s="77" t="n"/>
      <c r="X157" s="77" t="n"/>
      <c r="Y157" s="77" t="n"/>
    </row>
    <row r="158" ht="15.75" customHeight="1">
      <c r="A158" s="56" t="n">
        <v>152</v>
      </c>
      <c r="B158" s="116" t="n">
        <v>46307</v>
      </c>
      <c r="C158" s="117" t="inlineStr">
        <is>
          <t>152/10</t>
        </is>
      </c>
      <c r="D158" s="118" t="n">
        <v>279086</v>
      </c>
      <c r="E158" s="103" t="n">
        <v>26.558</v>
      </c>
      <c r="F158" s="119" t="inlineStr">
        <is>
          <t>SAN PABLO</t>
        </is>
      </c>
      <c r="G158" s="120" t="n">
        <v>51015</v>
      </c>
      <c r="H158" s="120" t="n"/>
      <c r="I158" s="77" t="n"/>
      <c r="J158" s="103" t="n"/>
      <c r="K158" s="122" t="n">
        <v>26.558</v>
      </c>
      <c r="L158" s="123" t="inlineStr">
        <is>
          <t>ROGER QUISPE MIRANDA</t>
        </is>
      </c>
      <c r="M158" s="124" t="inlineStr">
        <is>
          <t>FERNANDO SANDI</t>
        </is>
      </c>
      <c r="N158" s="82" t="inlineStr">
        <is>
          <t>1497 DYL</t>
        </is>
      </c>
      <c r="O158" s="73">
        <f>+O157+1</f>
        <v/>
      </c>
      <c r="Q158" s="51" t="n"/>
      <c r="R158" s="22" t="n"/>
      <c r="S158" s="45" t="n"/>
      <c r="T158" s="47" t="n"/>
      <c r="U158" s="69" t="n"/>
      <c r="V158" s="77" t="n"/>
      <c r="W158" s="77" t="n"/>
      <c r="X158" s="77" t="n"/>
      <c r="Y158" s="77" t="n"/>
    </row>
    <row r="159" ht="15.75" customHeight="1">
      <c r="A159" s="56" t="n">
        <v>153</v>
      </c>
      <c r="B159" s="116" t="n">
        <v>46307</v>
      </c>
      <c r="C159" s="117" t="inlineStr">
        <is>
          <t>153/10</t>
        </is>
      </c>
      <c r="D159" s="118" t="n">
        <v>279087</v>
      </c>
      <c r="E159" s="103" t="n">
        <v>27.374</v>
      </c>
      <c r="F159" s="119" t="inlineStr">
        <is>
          <t>SAN PABLO</t>
        </is>
      </c>
      <c r="G159" s="120" t="n">
        <v>51015</v>
      </c>
      <c r="H159" s="120" t="n"/>
      <c r="I159" s="77" t="n"/>
      <c r="J159" s="103" t="n"/>
      <c r="K159" s="122" t="n">
        <v>27.374</v>
      </c>
      <c r="L159" s="123" t="inlineStr">
        <is>
          <t>ROGER QUISPE MIRANDA</t>
        </is>
      </c>
      <c r="M159" s="124" t="inlineStr">
        <is>
          <t>EDGAR SANDI</t>
        </is>
      </c>
      <c r="N159" s="82" t="inlineStr">
        <is>
          <t>1117 LSA</t>
        </is>
      </c>
      <c r="O159" s="73">
        <f>+O158+1</f>
        <v/>
      </c>
      <c r="Q159" s="51" t="n"/>
      <c r="R159" s="22" t="n"/>
      <c r="S159" s="45" t="n"/>
      <c r="T159" s="47" t="n"/>
      <c r="U159" s="69" t="n"/>
      <c r="V159" s="77" t="n"/>
      <c r="W159" s="77" t="n"/>
      <c r="X159" s="77" t="n"/>
      <c r="Y159" s="77" t="n"/>
    </row>
    <row r="160" ht="15.75" customHeight="1">
      <c r="A160" s="56" t="n">
        <v>154</v>
      </c>
      <c r="B160" s="116" t="n">
        <v>46307</v>
      </c>
      <c r="C160" s="117" t="inlineStr">
        <is>
          <t>154/10</t>
        </is>
      </c>
      <c r="D160" s="118" t="n">
        <v>279088</v>
      </c>
      <c r="E160" s="103" t="n">
        <v>26.853</v>
      </c>
      <c r="F160" s="119" t="inlineStr">
        <is>
          <t>SAN PABLO</t>
        </is>
      </c>
      <c r="G160" s="120" t="n">
        <v>51015</v>
      </c>
      <c r="H160" s="120" t="n"/>
      <c r="I160" s="77" t="n"/>
      <c r="J160" s="103" t="n"/>
      <c r="K160" s="122" t="n">
        <v>26.853</v>
      </c>
      <c r="L160" s="123" t="inlineStr">
        <is>
          <t>ROGER QUISPE MIRANDA</t>
        </is>
      </c>
      <c r="M160" s="124" t="inlineStr">
        <is>
          <t>ALFREDO SANDI</t>
        </is>
      </c>
      <c r="N160" s="82" t="inlineStr">
        <is>
          <t>2343 EKE</t>
        </is>
      </c>
      <c r="O160" s="73">
        <f>+O159+1</f>
        <v/>
      </c>
      <c r="Q160" s="51" t="n"/>
      <c r="R160" s="22" t="n"/>
      <c r="S160" s="45" t="n"/>
      <c r="T160" s="47" t="n"/>
      <c r="U160" s="69" t="n"/>
      <c r="V160" s="77" t="n"/>
      <c r="W160" s="77" t="n"/>
      <c r="X160" s="77" t="n"/>
      <c r="Y160" s="77" t="n"/>
    </row>
    <row r="161" ht="15.75" customHeight="1">
      <c r="A161" s="56" t="n">
        <v>155</v>
      </c>
      <c r="B161" s="116" t="n">
        <v>46307</v>
      </c>
      <c r="C161" s="117" t="inlineStr">
        <is>
          <t>155/10</t>
        </is>
      </c>
      <c r="D161" s="118" t="n">
        <v>279089</v>
      </c>
      <c r="E161" s="103" t="n">
        <v>26.399</v>
      </c>
      <c r="F161" s="119" t="inlineStr">
        <is>
          <t>SAN PABLO</t>
        </is>
      </c>
      <c r="G161" s="120" t="n">
        <v>51015</v>
      </c>
      <c r="H161" s="120" t="n"/>
      <c r="I161" s="77" t="n"/>
      <c r="J161" s="103" t="n"/>
      <c r="K161" s="122" t="n">
        <v>26.399</v>
      </c>
      <c r="L161" s="123" t="inlineStr">
        <is>
          <t>ROGER QUISPE MIRANDA</t>
        </is>
      </c>
      <c r="M161" s="124" t="inlineStr">
        <is>
          <t>MARCO SANDI</t>
        </is>
      </c>
      <c r="N161" s="82" t="inlineStr">
        <is>
          <t>1264 FYT</t>
        </is>
      </c>
      <c r="O161" s="73">
        <f>+O160+1</f>
        <v/>
      </c>
      <c r="Q161" s="51" t="n"/>
      <c r="R161" s="22" t="n"/>
      <c r="S161" s="45" t="n"/>
      <c r="T161" s="47" t="n"/>
      <c r="U161" s="69" t="n"/>
      <c r="V161" s="77" t="n"/>
      <c r="W161" s="77" t="n"/>
      <c r="X161" s="77" t="n"/>
      <c r="Y161" s="77" t="n"/>
    </row>
    <row r="162" ht="15.75" customHeight="1">
      <c r="A162" s="56" t="n">
        <v>156</v>
      </c>
      <c r="B162" s="116" t="n">
        <v>46307</v>
      </c>
      <c r="C162" s="117" t="inlineStr">
        <is>
          <t>156/10</t>
        </is>
      </c>
      <c r="D162" s="118" t="n">
        <v>279090</v>
      </c>
      <c r="E162" s="103" t="n">
        <v>25.809</v>
      </c>
      <c r="F162" s="119" t="inlineStr">
        <is>
          <t>SAN PABLO</t>
        </is>
      </c>
      <c r="G162" s="120" t="n">
        <v>51015</v>
      </c>
      <c r="H162" s="120" t="n"/>
      <c r="I162" s="77" t="n"/>
      <c r="J162" s="103" t="n"/>
      <c r="K162" s="122" t="n">
        <v>25.809</v>
      </c>
      <c r="L162" s="123" t="inlineStr">
        <is>
          <t>ROGER QUISPE MIRANDA</t>
        </is>
      </c>
      <c r="M162" s="124" t="inlineStr">
        <is>
          <t>IVER MURILLO</t>
        </is>
      </c>
      <c r="N162" s="82" t="inlineStr">
        <is>
          <t>1190 ITF</t>
        </is>
      </c>
      <c r="O162" s="73">
        <f>+O161+1</f>
        <v/>
      </c>
      <c r="Q162" s="51" t="n"/>
      <c r="R162" s="22" t="n"/>
      <c r="S162" s="45" t="n"/>
      <c r="T162" s="47" t="n"/>
      <c r="U162" s="69" t="n"/>
      <c r="V162" s="77" t="n"/>
      <c r="W162" s="77" t="n"/>
      <c r="X162" s="77" t="n"/>
      <c r="Y162" s="77" t="n"/>
    </row>
    <row r="163" ht="15.75" customHeight="1">
      <c r="A163" s="56" t="n">
        <v>157</v>
      </c>
      <c r="B163" s="116" t="n">
        <v>46307</v>
      </c>
      <c r="C163" s="117" t="inlineStr">
        <is>
          <t>157/10</t>
        </is>
      </c>
      <c r="D163" s="118" t="n">
        <v>279091</v>
      </c>
      <c r="E163" s="103" t="n">
        <v>25.855</v>
      </c>
      <c r="F163" s="119" t="inlineStr">
        <is>
          <t>SAN PABLO</t>
        </is>
      </c>
      <c r="G163" s="120" t="n">
        <v>51015</v>
      </c>
      <c r="H163" s="120" t="n"/>
      <c r="I163" s="77" t="n"/>
      <c r="J163" s="103" t="n"/>
      <c r="K163" s="122" t="n">
        <v>25.855</v>
      </c>
      <c r="L163" s="123" t="inlineStr">
        <is>
          <t>ROGER QUISPE MIRANDA</t>
        </is>
      </c>
      <c r="M163" s="124" t="inlineStr">
        <is>
          <t>MARVIN RAMOS</t>
        </is>
      </c>
      <c r="N163" s="82" t="inlineStr">
        <is>
          <t>697 NPF</t>
        </is>
      </c>
      <c r="O163" s="73">
        <f>+O162+1</f>
        <v/>
      </c>
      <c r="Q163" s="51" t="n"/>
      <c r="R163" s="22" t="n"/>
      <c r="S163" s="45" t="n"/>
      <c r="T163" s="47" t="n"/>
      <c r="U163" s="69" t="n"/>
      <c r="V163" s="77" t="n"/>
      <c r="W163" s="77" t="n"/>
      <c r="X163" s="77" t="n"/>
      <c r="Y163" s="77" t="n"/>
    </row>
    <row r="164" ht="15.75" customHeight="1">
      <c r="A164" s="56" t="n">
        <v>158</v>
      </c>
      <c r="B164" s="116" t="n">
        <v>46307</v>
      </c>
      <c r="C164" s="117" t="inlineStr">
        <is>
          <t>158/10</t>
        </is>
      </c>
      <c r="D164" s="118" t="n">
        <v>279092</v>
      </c>
      <c r="E164" s="103" t="n">
        <v>26.671</v>
      </c>
      <c r="F164" s="119" t="inlineStr">
        <is>
          <t>SAN PABLO</t>
        </is>
      </c>
      <c r="G164" s="120" t="n">
        <v>51015</v>
      </c>
      <c r="H164" s="120" t="n"/>
      <c r="I164" s="77" t="n"/>
      <c r="J164" s="103" t="n"/>
      <c r="K164" s="122" t="n">
        <v>26.671</v>
      </c>
      <c r="L164" s="123" t="inlineStr">
        <is>
          <t>ROGER QUISPE MIRANDA</t>
        </is>
      </c>
      <c r="M164" s="124" t="inlineStr">
        <is>
          <t>FELIX VASQUEZ</t>
        </is>
      </c>
      <c r="N164" s="82" t="inlineStr">
        <is>
          <t>1529 HKX</t>
        </is>
      </c>
      <c r="O164" s="73">
        <f>+O163+1</f>
        <v/>
      </c>
      <c r="Q164" s="51" t="n"/>
      <c r="R164" s="22" t="n"/>
      <c r="S164" s="45" t="n"/>
      <c r="T164" s="47" t="n"/>
      <c r="U164" s="69" t="n"/>
      <c r="V164" s="77" t="n"/>
      <c r="W164" s="77" t="n"/>
      <c r="X164" s="77" t="n"/>
      <c r="Y164" s="77" t="n"/>
    </row>
    <row r="165" ht="15.75" customHeight="1">
      <c r="A165" s="56" t="n">
        <v>159</v>
      </c>
      <c r="B165" s="116" t="n">
        <v>46307</v>
      </c>
      <c r="C165" s="117" t="inlineStr">
        <is>
          <t>159/10</t>
        </is>
      </c>
      <c r="D165" s="118" t="n">
        <v>279093</v>
      </c>
      <c r="E165" s="103" t="n">
        <v>26.354</v>
      </c>
      <c r="F165" s="119" t="inlineStr">
        <is>
          <t>SAN PABLO</t>
        </is>
      </c>
      <c r="G165" s="120" t="n">
        <v>51015</v>
      </c>
      <c r="H165" s="120" t="n"/>
      <c r="I165" s="77" t="n"/>
      <c r="J165" s="103" t="n"/>
      <c r="K165" s="122" t="n">
        <v>26.354</v>
      </c>
      <c r="L165" s="123" t="inlineStr">
        <is>
          <t>ROGER QUISPE MIRANDA</t>
        </is>
      </c>
      <c r="M165" s="124" t="inlineStr">
        <is>
          <t>EDWIN SANDI</t>
        </is>
      </c>
      <c r="N165" s="82" t="inlineStr">
        <is>
          <t>2075 ZFB</t>
        </is>
      </c>
      <c r="O165" s="73">
        <f>+O164+1</f>
        <v/>
      </c>
      <c r="Q165" s="51" t="n"/>
      <c r="R165" s="22" t="n"/>
      <c r="S165" s="45" t="n"/>
      <c r="T165" s="47" t="n"/>
      <c r="U165" s="69" t="n"/>
      <c r="V165" s="77" t="n"/>
      <c r="W165" s="77" t="n"/>
      <c r="X165" s="77" t="n"/>
      <c r="Y165" s="77" t="n"/>
    </row>
    <row r="166" ht="15.75" customHeight="1">
      <c r="A166" s="56" t="n">
        <v>160</v>
      </c>
      <c r="B166" s="116" t="n">
        <v>46307</v>
      </c>
      <c r="C166" s="117" t="inlineStr">
        <is>
          <t>160/10</t>
        </is>
      </c>
      <c r="D166" s="118" t="n">
        <v>279094</v>
      </c>
      <c r="E166" s="103" t="n">
        <v>24.154</v>
      </c>
      <c r="F166" s="119" t="inlineStr">
        <is>
          <t>SAN PABLO</t>
        </is>
      </c>
      <c r="G166" s="120" t="n">
        <v>51015</v>
      </c>
      <c r="H166" s="120" t="n"/>
      <c r="I166" s="77" t="n"/>
      <c r="J166" s="103" t="n"/>
      <c r="K166" s="122" t="n">
        <v>24.154</v>
      </c>
      <c r="L166" s="123" t="inlineStr">
        <is>
          <t>ROGER QUISPE MIRANDA</t>
        </is>
      </c>
      <c r="M166" s="124" t="inlineStr">
        <is>
          <t>WALTER CHOQUE</t>
        </is>
      </c>
      <c r="N166" s="82" t="inlineStr">
        <is>
          <t>598 ULI</t>
        </is>
      </c>
      <c r="O166" s="73">
        <f>+O165+1</f>
        <v/>
      </c>
      <c r="Q166" s="51" t="n"/>
      <c r="R166" s="22" t="n"/>
      <c r="S166" s="45" t="n"/>
      <c r="T166" s="47" t="n"/>
      <c r="U166" s="69" t="n"/>
      <c r="V166" s="77" t="n"/>
      <c r="W166" s="77" t="n"/>
      <c r="X166" s="77" t="n"/>
      <c r="Y166" s="77" t="n"/>
    </row>
    <row r="167" ht="15.75" customHeight="1">
      <c r="A167" s="56" t="n">
        <v>161</v>
      </c>
      <c r="B167" s="116" t="n">
        <v>46307</v>
      </c>
      <c r="C167" s="117" t="inlineStr">
        <is>
          <t>161/10</t>
        </is>
      </c>
      <c r="D167" s="118" t="n">
        <v>279095</v>
      </c>
      <c r="E167" s="103" t="n">
        <v>25.583</v>
      </c>
      <c r="F167" s="119" t="inlineStr">
        <is>
          <t>SAN PABLO</t>
        </is>
      </c>
      <c r="G167" s="120" t="n">
        <v>51015</v>
      </c>
      <c r="H167" s="120" t="n"/>
      <c r="I167" s="77" t="n"/>
      <c r="J167" s="103" t="n"/>
      <c r="K167" s="122" t="n">
        <v>25.583</v>
      </c>
      <c r="L167" s="123" t="inlineStr">
        <is>
          <t>ROGER QUISPE MIRANDA</t>
        </is>
      </c>
      <c r="M167" s="124" t="inlineStr">
        <is>
          <t>VICENTE SAAVEDRA</t>
        </is>
      </c>
      <c r="N167" s="82" t="inlineStr">
        <is>
          <t>1447 TKH</t>
        </is>
      </c>
      <c r="O167" s="73">
        <f>+O166+1</f>
        <v/>
      </c>
      <c r="Q167" s="51" t="n"/>
      <c r="R167" s="22" t="n"/>
      <c r="S167" s="45" t="n"/>
      <c r="T167" s="47" t="n"/>
      <c r="U167" s="69" t="n"/>
      <c r="V167" s="77" t="n"/>
      <c r="W167" s="77" t="n"/>
      <c r="X167" s="77" t="n"/>
      <c r="Y167" s="77" t="n"/>
    </row>
    <row r="168" ht="15.75" customHeight="1">
      <c r="A168" s="56" t="n">
        <v>162</v>
      </c>
      <c r="B168" s="116" t="n">
        <v>46307</v>
      </c>
      <c r="C168" s="117" t="inlineStr">
        <is>
          <t>162/10</t>
        </is>
      </c>
      <c r="D168" s="118" t="n"/>
      <c r="E168" s="103" t="n">
        <v>24.245</v>
      </c>
      <c r="F168" s="119" t="inlineStr">
        <is>
          <t>MOJINETE</t>
        </is>
      </c>
      <c r="G168" s="120" t="n">
        <v>51028</v>
      </c>
      <c r="H168" s="120" t="n"/>
      <c r="I168" s="69" t="n">
        <v>24.245</v>
      </c>
      <c r="J168" s="103" t="n"/>
      <c r="K168" s="122" t="n"/>
      <c r="L168" s="78" t="inlineStr">
        <is>
          <t>ELVA GARCIA</t>
        </is>
      </c>
      <c r="M168" s="124" t="inlineStr">
        <is>
          <t>DANIEL HUAYTA</t>
        </is>
      </c>
      <c r="N168" s="82" t="inlineStr">
        <is>
          <t>700 ZZC</t>
        </is>
      </c>
      <c r="O168" s="73">
        <f>+O167+1</f>
        <v/>
      </c>
      <c r="Q168" s="51" t="n"/>
      <c r="R168" s="22" t="n"/>
      <c r="S168" s="45" t="n"/>
      <c r="T168" s="47" t="n"/>
      <c r="U168" s="69" t="n"/>
      <c r="V168" s="77" t="n"/>
      <c r="W168" s="77" t="n"/>
      <c r="X168" s="77" t="n"/>
      <c r="Y168" s="77" t="n"/>
    </row>
    <row r="169" ht="15.75" customHeight="1">
      <c r="A169" s="56" t="n">
        <v>163</v>
      </c>
      <c r="B169" s="116" t="n">
        <v>46308</v>
      </c>
      <c r="C169" s="117" t="inlineStr">
        <is>
          <t>163/10</t>
        </is>
      </c>
      <c r="D169" s="118" t="n"/>
      <c r="E169" s="103" t="n"/>
      <c r="F169" s="119" t="inlineStr">
        <is>
          <t>MOJINETE</t>
        </is>
      </c>
      <c r="G169" s="120" t="n">
        <v>51028</v>
      </c>
      <c r="H169" s="120" t="n"/>
      <c r="I169" s="69" t="n">
        <v>0</v>
      </c>
      <c r="J169" s="103" t="n"/>
      <c r="K169" s="122" t="n"/>
      <c r="L169" s="78" t="inlineStr">
        <is>
          <t>EMUSA</t>
        </is>
      </c>
      <c r="M169" s="124" t="inlineStr">
        <is>
          <t>JUAN NINA</t>
        </is>
      </c>
      <c r="N169" s="82" t="inlineStr">
        <is>
          <t>6657 DZH</t>
        </is>
      </c>
      <c r="O169" s="73">
        <f>+O168+1</f>
        <v/>
      </c>
      <c r="Q169" s="51" t="n"/>
      <c r="R169" s="22" t="n"/>
      <c r="S169" s="45" t="n"/>
      <c r="T169" s="47" t="n"/>
      <c r="U169" s="69" t="n"/>
      <c r="V169" s="77" t="n"/>
      <c r="W169" s="77" t="n"/>
      <c r="X169" s="77" t="n"/>
      <c r="Y169" s="77" t="n"/>
    </row>
    <row r="170" ht="15.75" customHeight="1">
      <c r="A170" s="56" t="n">
        <v>164</v>
      </c>
      <c r="B170" s="116" t="n">
        <v>46308</v>
      </c>
      <c r="C170" s="117" t="inlineStr">
        <is>
          <t>164/10</t>
        </is>
      </c>
      <c r="D170" s="118" t="n"/>
      <c r="E170" s="103" t="n"/>
      <c r="F170" s="119" t="inlineStr">
        <is>
          <t>MOJINETE</t>
        </is>
      </c>
      <c r="G170" s="120" t="n">
        <v>51028</v>
      </c>
      <c r="H170" s="120" t="n"/>
      <c r="I170" s="69" t="n">
        <v>0</v>
      </c>
      <c r="J170" s="103" t="n"/>
      <c r="K170" s="122" t="n"/>
      <c r="L170" s="78" t="inlineStr">
        <is>
          <t>EMUSA</t>
        </is>
      </c>
      <c r="M170" s="124" t="inlineStr">
        <is>
          <t>EDWIN TAPIA</t>
        </is>
      </c>
      <c r="N170" s="82" t="inlineStr">
        <is>
          <t>6657 DYE</t>
        </is>
      </c>
      <c r="O170" s="73">
        <f>+O169+1</f>
        <v/>
      </c>
      <c r="Q170" s="51" t="n"/>
      <c r="R170" s="22" t="n"/>
      <c r="S170" s="45" t="n"/>
      <c r="T170" s="47" t="n"/>
      <c r="U170" s="69" t="n"/>
      <c r="V170" s="77" t="n"/>
      <c r="W170" s="77" t="n"/>
      <c r="X170" s="77" t="n"/>
      <c r="Y170" s="77" t="n"/>
    </row>
    <row r="171" ht="15.75" customHeight="1">
      <c r="A171" s="56" t="n">
        <v>165</v>
      </c>
      <c r="B171" s="116" t="n">
        <v>46308</v>
      </c>
      <c r="C171" s="117" t="inlineStr">
        <is>
          <t>165/10</t>
        </is>
      </c>
      <c r="D171" s="118" t="n"/>
      <c r="E171" s="103" t="n"/>
      <c r="F171" s="119" t="inlineStr">
        <is>
          <t>MOJINETE</t>
        </is>
      </c>
      <c r="G171" s="120" t="n">
        <v>51028</v>
      </c>
      <c r="H171" s="120" t="n"/>
      <c r="I171" s="69" t="n">
        <v>0</v>
      </c>
      <c r="J171" s="103" t="n"/>
      <c r="K171" s="122" t="n"/>
      <c r="L171" s="78" t="inlineStr">
        <is>
          <t>JUAN FARFAN</t>
        </is>
      </c>
      <c r="M171" s="124" t="inlineStr">
        <is>
          <t>JESUSO FAJARDO</t>
        </is>
      </c>
      <c r="N171" s="82" t="inlineStr">
        <is>
          <t>1923 UZH</t>
        </is>
      </c>
      <c r="O171" s="73">
        <f>+O170+1</f>
        <v/>
      </c>
      <c r="P171" t="n">
        <v>170</v>
      </c>
      <c r="Q171" s="51" t="n"/>
      <c r="R171" s="22" t="n"/>
      <c r="S171" s="45" t="n"/>
      <c r="T171" s="47" t="n"/>
      <c r="U171" s="69" t="n"/>
      <c r="V171" s="77" t="n"/>
      <c r="W171" s="77" t="n"/>
      <c r="X171" s="77" t="n"/>
      <c r="Y171" s="77" t="n"/>
    </row>
    <row r="172" ht="15.75" customHeight="1">
      <c r="A172" s="56" t="n">
        <v>166</v>
      </c>
      <c r="B172" s="116" t="n">
        <v>46308</v>
      </c>
      <c r="C172" s="117" t="inlineStr">
        <is>
          <t>166/10</t>
        </is>
      </c>
      <c r="D172" s="118" t="n"/>
      <c r="E172" s="103" t="n"/>
      <c r="F172" s="119" t="inlineStr">
        <is>
          <t>MOJINETE</t>
        </is>
      </c>
      <c r="G172" s="120" t="n">
        <v>51028</v>
      </c>
      <c r="H172" s="120" t="n"/>
      <c r="I172" s="69" t="n">
        <v>0</v>
      </c>
      <c r="J172" s="103" t="n"/>
      <c r="K172" s="122" t="n"/>
      <c r="L172" s="78" t="inlineStr">
        <is>
          <t>MIGUEL TIJRA</t>
        </is>
      </c>
      <c r="M172" s="124" t="inlineStr">
        <is>
          <t>WILFREDO ARUQUIPA</t>
        </is>
      </c>
      <c r="N172" s="82" t="inlineStr">
        <is>
          <t>1630 UGE</t>
        </is>
      </c>
      <c r="O172" s="73">
        <f>+O171+1</f>
        <v/>
      </c>
      <c r="P172" t="n">
        <v>160</v>
      </c>
      <c r="Q172" s="51" t="n"/>
      <c r="R172" s="22" t="n"/>
      <c r="S172" s="45" t="n"/>
      <c r="T172" s="47" t="n"/>
      <c r="U172" s="69" t="n"/>
      <c r="V172" s="77" t="n"/>
      <c r="W172" s="77" t="n"/>
      <c r="X172" s="77" t="n"/>
      <c r="Y172" s="77" t="n"/>
    </row>
    <row r="173" ht="15.75" customHeight="1">
      <c r="A173" s="56" t="n">
        <v>167</v>
      </c>
      <c r="B173" s="116" t="n">
        <v>46308</v>
      </c>
      <c r="C173" s="117" t="inlineStr">
        <is>
          <t>167/10</t>
        </is>
      </c>
      <c r="D173" s="118" t="n"/>
      <c r="E173" s="103" t="n"/>
      <c r="F173" s="119" t="inlineStr">
        <is>
          <t>MOJINETE</t>
        </is>
      </c>
      <c r="G173" s="120" t="n">
        <v>51028</v>
      </c>
      <c r="H173" s="120" t="n"/>
      <c r="I173" s="69" t="n">
        <v>0</v>
      </c>
      <c r="J173" s="103" t="n"/>
      <c r="K173" s="122" t="n"/>
      <c r="L173" s="78" t="inlineStr">
        <is>
          <t>MIGUEL TIJRA</t>
        </is>
      </c>
      <c r="M173" s="71" t="inlineStr">
        <is>
          <t>HECTOR QUISPE</t>
        </is>
      </c>
      <c r="N173" s="74" t="inlineStr">
        <is>
          <t>2263 PKI</t>
        </is>
      </c>
      <c r="O173" s="73">
        <f>+O172+1</f>
        <v/>
      </c>
      <c r="Q173" s="51" t="n"/>
      <c r="R173" s="22" t="n"/>
      <c r="S173" s="45" t="n"/>
      <c r="T173" s="47" t="n"/>
      <c r="U173" s="69" t="n"/>
      <c r="V173" s="77" t="n"/>
      <c r="W173" s="77" t="n"/>
      <c r="X173" s="77" t="n"/>
      <c r="Y173" s="77" t="n"/>
    </row>
    <row r="174" ht="15.75" customHeight="1">
      <c r="A174" s="56" t="n">
        <v>168</v>
      </c>
      <c r="B174" s="116" t="n">
        <v>46308</v>
      </c>
      <c r="C174" s="117" t="inlineStr">
        <is>
          <t>168/10</t>
        </is>
      </c>
      <c r="D174" s="118" t="n"/>
      <c r="E174" s="103" t="n"/>
      <c r="F174" s="119" t="inlineStr">
        <is>
          <t>MOJINETE</t>
        </is>
      </c>
      <c r="G174" s="120" t="n">
        <v>51028</v>
      </c>
      <c r="H174" s="120" t="n"/>
      <c r="I174" s="69" t="n">
        <v>0</v>
      </c>
      <c r="J174" s="103" t="n"/>
      <c r="K174" s="122" t="n"/>
      <c r="L174" s="78" t="inlineStr">
        <is>
          <t>MIGUEL TIJRA</t>
        </is>
      </c>
      <c r="M174" s="71" t="inlineStr">
        <is>
          <t>JESUS COPA</t>
        </is>
      </c>
      <c r="N174" s="74" t="inlineStr">
        <is>
          <t>1387 LGH</t>
        </is>
      </c>
      <c r="O174" s="73">
        <f>+O173+1</f>
        <v/>
      </c>
      <c r="P174" t="n">
        <v>160</v>
      </c>
      <c r="Q174" s="51" t="n"/>
      <c r="R174" s="22" t="n"/>
      <c r="S174" s="45" t="n"/>
      <c r="T174" s="47" t="n"/>
      <c r="U174" s="69" t="n"/>
      <c r="V174" s="77" t="n"/>
      <c r="W174" s="77" t="n"/>
      <c r="X174" s="77" t="n"/>
      <c r="Y174" s="77" t="n"/>
    </row>
    <row r="175" ht="15.75" customHeight="1">
      <c r="A175" s="56" t="n">
        <v>169</v>
      </c>
      <c r="B175" s="116" t="n">
        <v>46308</v>
      </c>
      <c r="C175" s="117" t="inlineStr">
        <is>
          <t>169/10</t>
        </is>
      </c>
      <c r="D175" s="118" t="n"/>
      <c r="E175" s="103" t="n"/>
      <c r="F175" s="119" t="inlineStr">
        <is>
          <t>SAN PABLO</t>
        </is>
      </c>
      <c r="G175" s="120" t="n">
        <v>51015</v>
      </c>
      <c r="H175" s="120" t="n"/>
      <c r="I175" s="69" t="n"/>
      <c r="J175" s="103" t="n"/>
      <c r="K175" s="122" t="n">
        <v>0</v>
      </c>
      <c r="L175" s="123" t="inlineStr">
        <is>
          <t>ROGER QUISPE MIRANDA</t>
        </is>
      </c>
      <c r="M175" s="124" t="inlineStr">
        <is>
          <t>MIGUEL SANDI</t>
        </is>
      </c>
      <c r="N175" s="125" t="inlineStr">
        <is>
          <t>2824 TEE</t>
        </is>
      </c>
      <c r="O175" s="73">
        <f>+O174+1</f>
        <v/>
      </c>
      <c r="Q175" s="51" t="n"/>
      <c r="R175" s="22" t="n"/>
      <c r="S175" s="45" t="n"/>
      <c r="T175" s="47" t="n"/>
      <c r="U175" s="69" t="n"/>
      <c r="V175" s="77" t="n"/>
      <c r="W175" s="77" t="n"/>
      <c r="X175" s="77" t="n"/>
      <c r="Y175" s="77" t="n"/>
    </row>
    <row r="176" ht="15.75" customHeight="1">
      <c r="A176" s="56" t="n">
        <v>170</v>
      </c>
      <c r="B176" s="116" t="n">
        <v>46308</v>
      </c>
      <c r="C176" s="117" t="inlineStr">
        <is>
          <t>170/10</t>
        </is>
      </c>
      <c r="D176" s="118" t="n"/>
      <c r="E176" s="103" t="n"/>
      <c r="F176" s="119" t="inlineStr">
        <is>
          <t>SAN PABLO</t>
        </is>
      </c>
      <c r="G176" s="120" t="n">
        <v>51015</v>
      </c>
      <c r="H176" s="120" t="n"/>
      <c r="I176" s="69" t="n"/>
      <c r="J176" s="103" t="n"/>
      <c r="K176" s="122" t="n">
        <v>0</v>
      </c>
      <c r="L176" s="123" t="inlineStr">
        <is>
          <t>ROGER QUISPE MIRANDA</t>
        </is>
      </c>
      <c r="M176" s="124" t="inlineStr">
        <is>
          <t>FERNANDO SANDI</t>
        </is>
      </c>
      <c r="N176" s="82" t="inlineStr">
        <is>
          <t>1497 DYL</t>
        </is>
      </c>
      <c r="O176" s="73">
        <f>+O175+1</f>
        <v/>
      </c>
      <c r="Q176" s="51" t="n"/>
      <c r="R176" s="22" t="n"/>
      <c r="S176" s="45" t="n"/>
      <c r="T176" s="47" t="n"/>
      <c r="U176" s="69" t="n"/>
      <c r="V176" s="77" t="n"/>
      <c r="W176" s="77" t="n"/>
      <c r="X176" s="77" t="n"/>
      <c r="Y176" s="77" t="n"/>
    </row>
    <row r="177" ht="15.75" customHeight="1">
      <c r="A177" s="56" t="n">
        <v>171</v>
      </c>
      <c r="B177" s="116" t="n">
        <v>46308</v>
      </c>
      <c r="C177" s="117" t="inlineStr">
        <is>
          <t>171/10</t>
        </is>
      </c>
      <c r="D177" s="118" t="n"/>
      <c r="E177" s="103" t="n"/>
      <c r="F177" s="119" t="inlineStr">
        <is>
          <t>SAN PABLO</t>
        </is>
      </c>
      <c r="G177" s="120" t="n">
        <v>51015</v>
      </c>
      <c r="H177" s="120" t="n"/>
      <c r="I177" s="69" t="n"/>
      <c r="J177" s="103" t="n"/>
      <c r="K177" s="122" t="n">
        <v>0</v>
      </c>
      <c r="L177" s="123" t="inlineStr">
        <is>
          <t>ROGER QUISPE MIRANDA</t>
        </is>
      </c>
      <c r="M177" s="124" t="inlineStr">
        <is>
          <t>EDGAR SANDI</t>
        </is>
      </c>
      <c r="N177" s="82" t="inlineStr">
        <is>
          <t>1117 LSA</t>
        </is>
      </c>
      <c r="O177" s="73">
        <f>+O176+1</f>
        <v/>
      </c>
      <c r="Q177" s="51" t="n"/>
      <c r="R177" s="22" t="n"/>
      <c r="S177" s="45" t="n"/>
      <c r="T177" s="47" t="n"/>
      <c r="U177" s="69" t="n"/>
      <c r="V177" s="77" t="n"/>
      <c r="W177" s="77" t="n"/>
      <c r="X177" s="77" t="n"/>
      <c r="Y177" s="77" t="n"/>
    </row>
    <row r="178" ht="15.75" customHeight="1">
      <c r="A178" s="56" t="n">
        <v>172</v>
      </c>
      <c r="B178" s="116" t="n">
        <v>46308</v>
      </c>
      <c r="C178" s="117" t="inlineStr">
        <is>
          <t>172/10</t>
        </is>
      </c>
      <c r="D178" s="118" t="n"/>
      <c r="E178" s="103" t="n"/>
      <c r="F178" s="119" t="inlineStr">
        <is>
          <t>SAN PABLO</t>
        </is>
      </c>
      <c r="G178" s="120" t="n">
        <v>51015</v>
      </c>
      <c r="H178" s="120" t="n"/>
      <c r="I178" s="69" t="n"/>
      <c r="J178" s="103" t="n"/>
      <c r="K178" s="122" t="n">
        <v>0</v>
      </c>
      <c r="L178" s="123" t="inlineStr">
        <is>
          <t>ROGER QUISPE MIRANDA</t>
        </is>
      </c>
      <c r="M178" s="124" t="inlineStr">
        <is>
          <t>ALFREDO SANDI</t>
        </is>
      </c>
      <c r="N178" s="82" t="inlineStr">
        <is>
          <t>2343 EKE</t>
        </is>
      </c>
      <c r="O178" s="73">
        <f>+O177+1</f>
        <v/>
      </c>
      <c r="Q178" s="51" t="n"/>
      <c r="R178" s="22" t="n"/>
      <c r="S178" s="45" t="n"/>
      <c r="T178" s="47" t="n"/>
      <c r="U178" s="69" t="n"/>
      <c r="V178" s="77" t="n"/>
      <c r="W178" s="77" t="n"/>
      <c r="X178" s="77" t="n"/>
      <c r="Y178" s="77" t="n"/>
    </row>
    <row r="179" ht="15.75" customHeight="1">
      <c r="A179" s="56" t="n">
        <v>173</v>
      </c>
      <c r="B179" s="116" t="n">
        <v>46308</v>
      </c>
      <c r="C179" s="117" t="inlineStr">
        <is>
          <t>173/10</t>
        </is>
      </c>
      <c r="D179" s="118" t="n"/>
      <c r="E179" s="103" t="n"/>
      <c r="F179" s="119" t="inlineStr">
        <is>
          <t>SAN PABLO</t>
        </is>
      </c>
      <c r="G179" s="120" t="n">
        <v>51015</v>
      </c>
      <c r="H179" s="120" t="n"/>
      <c r="I179" s="69" t="n"/>
      <c r="J179" s="103" t="n"/>
      <c r="K179" s="122" t="n">
        <v>0</v>
      </c>
      <c r="L179" s="123" t="inlineStr">
        <is>
          <t>ROGER QUISPE MIRANDA</t>
        </is>
      </c>
      <c r="M179" s="124" t="inlineStr">
        <is>
          <t>MARCO SANDI</t>
        </is>
      </c>
      <c r="N179" s="82" t="inlineStr">
        <is>
          <t>1264 FYT</t>
        </is>
      </c>
      <c r="O179" s="73">
        <f>+O178+1</f>
        <v/>
      </c>
      <c r="Q179" s="51" t="n"/>
      <c r="R179" s="22" t="n"/>
      <c r="S179" s="45" t="n"/>
      <c r="T179" s="47" t="n"/>
      <c r="U179" s="69" t="n"/>
      <c r="V179" s="77" t="n"/>
      <c r="W179" s="77" t="n"/>
      <c r="X179" s="77" t="n"/>
      <c r="Y179" s="77" t="n"/>
    </row>
    <row r="180" ht="15.75" customHeight="1">
      <c r="A180" s="56" t="n">
        <v>174</v>
      </c>
      <c r="B180" s="116" t="n">
        <v>46308</v>
      </c>
      <c r="C180" s="117" t="inlineStr">
        <is>
          <t>174/10</t>
        </is>
      </c>
      <c r="D180" s="118" t="n"/>
      <c r="E180" s="103" t="n"/>
      <c r="F180" s="119" t="inlineStr">
        <is>
          <t>SAN PABLO</t>
        </is>
      </c>
      <c r="G180" s="120" t="n">
        <v>51015</v>
      </c>
      <c r="H180" s="120" t="n"/>
      <c r="I180" s="69" t="n"/>
      <c r="J180" s="103" t="n"/>
      <c r="K180" s="122" t="n">
        <v>0</v>
      </c>
      <c r="L180" s="123" t="inlineStr">
        <is>
          <t>ROGER QUISPE MIRANDA</t>
        </is>
      </c>
      <c r="M180" s="124" t="inlineStr">
        <is>
          <t>IVER MURILLO</t>
        </is>
      </c>
      <c r="N180" s="82" t="inlineStr">
        <is>
          <t>1190 ITF</t>
        </is>
      </c>
      <c r="O180" s="73">
        <f>+O179+1</f>
        <v/>
      </c>
      <c r="Q180" s="51" t="n"/>
      <c r="R180" s="22" t="n"/>
      <c r="S180" s="45" t="n"/>
      <c r="T180" s="47" t="n"/>
      <c r="U180" s="69" t="n"/>
      <c r="V180" s="77" t="n"/>
      <c r="W180" s="77" t="n"/>
      <c r="X180" s="77" t="n"/>
      <c r="Y180" s="77" t="n"/>
    </row>
    <row r="181" ht="15.75" customHeight="1">
      <c r="A181" s="56" t="n">
        <v>175</v>
      </c>
      <c r="B181" s="116" t="n">
        <v>46308</v>
      </c>
      <c r="C181" s="117" t="inlineStr">
        <is>
          <t>175/10</t>
        </is>
      </c>
      <c r="D181" s="118" t="n"/>
      <c r="E181" s="103" t="n"/>
      <c r="F181" s="119" t="inlineStr">
        <is>
          <t>SAN PABLO</t>
        </is>
      </c>
      <c r="G181" s="120" t="n">
        <v>51015</v>
      </c>
      <c r="H181" s="120" t="n"/>
      <c r="I181" s="69" t="n"/>
      <c r="J181" s="103" t="n"/>
      <c r="K181" s="122" t="n">
        <v>0</v>
      </c>
      <c r="L181" s="123" t="inlineStr">
        <is>
          <t>ROGER QUISPE MIRANDA</t>
        </is>
      </c>
      <c r="M181" s="124" t="inlineStr">
        <is>
          <t>MARVIN RAMOS</t>
        </is>
      </c>
      <c r="N181" s="82" t="inlineStr">
        <is>
          <t>697 NPF</t>
        </is>
      </c>
      <c r="O181" s="73">
        <f>+O180+1</f>
        <v/>
      </c>
      <c r="Q181" s="51" t="n"/>
      <c r="R181" s="22" t="n"/>
      <c r="S181" s="45" t="n"/>
      <c r="T181" s="47" t="n"/>
      <c r="U181" s="69" t="n"/>
      <c r="V181" s="77" t="n"/>
      <c r="W181" s="77" t="n"/>
      <c r="X181" s="77" t="n"/>
      <c r="Y181" s="77" t="n"/>
    </row>
    <row r="182" ht="15.75" customHeight="1">
      <c r="A182" s="56" t="n">
        <v>176</v>
      </c>
      <c r="B182" s="116" t="n">
        <v>46308</v>
      </c>
      <c r="C182" s="117" t="inlineStr">
        <is>
          <t>176/10</t>
        </is>
      </c>
      <c r="D182" s="118" t="n"/>
      <c r="E182" s="103" t="n"/>
      <c r="F182" s="119" t="inlineStr">
        <is>
          <t>SAN PABLO</t>
        </is>
      </c>
      <c r="G182" s="120" t="n">
        <v>51015</v>
      </c>
      <c r="H182" s="120" t="n"/>
      <c r="I182" s="69" t="n"/>
      <c r="J182" s="103" t="n"/>
      <c r="K182" s="122" t="n">
        <v>0</v>
      </c>
      <c r="L182" s="123" t="inlineStr">
        <is>
          <t>ROGER QUISPE MIRANDA</t>
        </is>
      </c>
      <c r="M182" s="124" t="inlineStr">
        <is>
          <t>FELIX VASQUEZ</t>
        </is>
      </c>
      <c r="N182" s="82" t="inlineStr">
        <is>
          <t>1529 HKX</t>
        </is>
      </c>
      <c r="O182" s="73">
        <f>+O181+1</f>
        <v/>
      </c>
      <c r="Q182" s="51" t="n"/>
      <c r="R182" s="22" t="n"/>
      <c r="S182" s="45" t="n"/>
      <c r="T182" s="47" t="n"/>
      <c r="U182" s="69" t="n"/>
      <c r="V182" s="77" t="n"/>
      <c r="W182" s="77" t="n"/>
      <c r="X182" s="77" t="n"/>
      <c r="Y182" s="77" t="n"/>
    </row>
    <row r="183" ht="15.75" customHeight="1">
      <c r="A183" s="56" t="n">
        <v>177</v>
      </c>
      <c r="B183" s="116" t="n">
        <v>46308</v>
      </c>
      <c r="C183" s="117" t="inlineStr">
        <is>
          <t>177/10</t>
        </is>
      </c>
      <c r="D183" s="118" t="n"/>
      <c r="E183" s="103" t="n"/>
      <c r="F183" s="119" t="inlineStr">
        <is>
          <t>SAN PABLO</t>
        </is>
      </c>
      <c r="G183" s="120" t="n">
        <v>51015</v>
      </c>
      <c r="H183" s="120" t="n"/>
      <c r="I183" s="69" t="n"/>
      <c r="J183" s="103" t="n"/>
      <c r="K183" s="122" t="n">
        <v>0</v>
      </c>
      <c r="L183" s="123" t="inlineStr">
        <is>
          <t>ROGER QUISPE MIRANDA</t>
        </is>
      </c>
      <c r="M183" s="124" t="inlineStr">
        <is>
          <t>EDWIN SANDI</t>
        </is>
      </c>
      <c r="N183" s="82" t="inlineStr">
        <is>
          <t>2075 ZFB</t>
        </is>
      </c>
      <c r="O183" s="73">
        <f>+O182+1</f>
        <v/>
      </c>
      <c r="Q183" s="51" t="n"/>
      <c r="R183" s="22" t="n"/>
      <c r="S183" s="45" t="n"/>
      <c r="T183" s="47" t="n"/>
      <c r="U183" s="69" t="n"/>
      <c r="V183" s="77" t="n"/>
      <c r="W183" s="77" t="n"/>
      <c r="X183" s="77" t="n"/>
      <c r="Y183" s="77" t="n"/>
    </row>
    <row r="184" ht="15.75" customHeight="1">
      <c r="A184" s="56" t="n">
        <v>178</v>
      </c>
      <c r="B184" s="116" t="n">
        <v>46308</v>
      </c>
      <c r="C184" s="117" t="inlineStr">
        <is>
          <t>178/10</t>
        </is>
      </c>
      <c r="D184" s="118" t="n"/>
      <c r="E184" s="103" t="n"/>
      <c r="F184" s="119" t="inlineStr">
        <is>
          <t>SAN PABLO</t>
        </is>
      </c>
      <c r="G184" s="120" t="n">
        <v>51015</v>
      </c>
      <c r="H184" s="120" t="n"/>
      <c r="I184" s="69" t="n"/>
      <c r="J184" s="103" t="n"/>
      <c r="K184" s="122" t="n">
        <v>0</v>
      </c>
      <c r="L184" s="123" t="inlineStr">
        <is>
          <t>ROGER QUISPE MIRANDA</t>
        </is>
      </c>
      <c r="M184" s="124" t="inlineStr">
        <is>
          <t>WALTER CHOQUE</t>
        </is>
      </c>
      <c r="N184" s="82" t="inlineStr">
        <is>
          <t>598 ULI</t>
        </is>
      </c>
      <c r="O184" s="73">
        <f>+O183+1</f>
        <v/>
      </c>
      <c r="Q184" s="51" t="n"/>
      <c r="R184" s="22" t="n"/>
      <c r="S184" s="45" t="n"/>
      <c r="T184" s="47" t="n"/>
      <c r="U184" s="69" t="n"/>
      <c r="V184" s="77" t="n"/>
      <c r="W184" s="77" t="n"/>
      <c r="X184" s="77" t="n"/>
      <c r="Y184" s="77" t="n"/>
    </row>
    <row r="185" ht="13.5" customHeight="1">
      <c r="A185" s="56" t="n">
        <v>179</v>
      </c>
      <c r="B185" s="116" t="n">
        <v>46308</v>
      </c>
      <c r="C185" s="117" t="inlineStr">
        <is>
          <t>179/10</t>
        </is>
      </c>
      <c r="D185" s="118" t="n"/>
      <c r="E185" s="103" t="n"/>
      <c r="F185" s="119" t="inlineStr">
        <is>
          <t>SAN PABLO</t>
        </is>
      </c>
      <c r="G185" s="120" t="n">
        <v>51015</v>
      </c>
      <c r="H185" s="120" t="n"/>
      <c r="I185" s="69" t="n"/>
      <c r="J185" s="103" t="n"/>
      <c r="K185" s="122" t="n">
        <v>0</v>
      </c>
      <c r="L185" s="123" t="inlineStr">
        <is>
          <t>ROGER QUISPE MIRANDA</t>
        </is>
      </c>
      <c r="M185" s="124" t="inlineStr">
        <is>
          <t>VICENTE SAAVEDRA</t>
        </is>
      </c>
      <c r="N185" s="82" t="inlineStr">
        <is>
          <t>1447 TKH</t>
        </is>
      </c>
      <c r="O185" s="73">
        <f>+O184+1</f>
        <v/>
      </c>
      <c r="Q185" s="51" t="n"/>
      <c r="R185" s="22" t="n"/>
      <c r="S185" s="45" t="n"/>
      <c r="T185" s="47" t="n"/>
      <c r="U185" s="69" t="n"/>
      <c r="V185" s="77" t="n"/>
      <c r="W185" s="77" t="n"/>
      <c r="X185" s="77" t="n"/>
      <c r="Y185" s="77" t="n"/>
    </row>
    <row r="186" ht="13.5" customHeight="1">
      <c r="A186" s="56" t="n">
        <v>180</v>
      </c>
      <c r="B186" s="116" t="n">
        <v>46308</v>
      </c>
      <c r="C186" s="117" t="inlineStr">
        <is>
          <t>180/10</t>
        </is>
      </c>
      <c r="D186" s="118" t="n"/>
      <c r="E186" s="103" t="n"/>
      <c r="F186" s="119" t="inlineStr">
        <is>
          <t>MOJINETE</t>
        </is>
      </c>
      <c r="G186" s="120" t="n">
        <v>51028</v>
      </c>
      <c r="H186" s="120" t="n"/>
      <c r="I186" s="69" t="n">
        <v>0</v>
      </c>
      <c r="J186" s="103" t="n"/>
      <c r="K186" s="122" t="n"/>
      <c r="L186" s="123" t="inlineStr">
        <is>
          <t>ELVA GARCIA</t>
        </is>
      </c>
      <c r="M186" s="124" t="inlineStr">
        <is>
          <t>DANIEL HUAYTA</t>
        </is>
      </c>
      <c r="N186" s="82" t="inlineStr">
        <is>
          <t>700 ZZC</t>
        </is>
      </c>
      <c r="O186" s="73">
        <f>+O185+1</f>
        <v/>
      </c>
      <c r="Q186" s="51" t="n"/>
      <c r="R186" s="22" t="n"/>
      <c r="S186" s="45" t="n"/>
      <c r="T186" s="47" t="n"/>
      <c r="U186" s="69" t="n"/>
      <c r="V186" s="77" t="n"/>
      <c r="W186" s="77" t="n"/>
      <c r="X186" s="77" t="n"/>
      <c r="Y186" s="77" t="n"/>
    </row>
    <row r="187" ht="13.5" customHeight="1">
      <c r="A187" s="56" t="n"/>
      <c r="B187" s="116" t="n"/>
      <c r="C187" s="117" t="n"/>
      <c r="D187" s="118" t="n"/>
      <c r="E187" s="103" t="n"/>
      <c r="F187" s="119" t="n"/>
      <c r="G187" s="120" t="n"/>
      <c r="H187" s="120" t="n"/>
      <c r="I187" s="69" t="n"/>
      <c r="J187" s="103" t="n"/>
      <c r="K187" s="122" t="n"/>
      <c r="L187" s="123" t="n"/>
      <c r="M187" s="124" t="n"/>
      <c r="N187" s="82" t="n"/>
      <c r="O187" s="73" t="n"/>
      <c r="Q187" s="51" t="n"/>
      <c r="R187" s="22" t="n"/>
      <c r="S187" s="45" t="n"/>
      <c r="T187" s="47" t="n"/>
      <c r="U187" s="69" t="n"/>
      <c r="V187" s="77" t="n"/>
      <c r="W187" s="77" t="n"/>
      <c r="X187" s="77" t="n"/>
      <c r="Y187" s="77" t="n"/>
    </row>
    <row r="188" ht="13.5" customHeight="1">
      <c r="A188" s="56" t="n"/>
      <c r="B188" s="116" t="n"/>
      <c r="C188" s="117" t="n"/>
      <c r="D188" s="118" t="n"/>
      <c r="E188" s="103" t="n"/>
      <c r="F188" s="119" t="n"/>
      <c r="G188" s="120" t="n"/>
      <c r="H188" s="120" t="n"/>
      <c r="I188" s="69" t="n"/>
      <c r="J188" s="103" t="n"/>
      <c r="K188" s="122" t="n"/>
      <c r="L188" s="123" t="n"/>
      <c r="M188" s="124" t="n"/>
      <c r="N188" s="82" t="n"/>
      <c r="O188" s="73" t="n"/>
      <c r="Q188" s="51" t="n"/>
      <c r="R188" s="22" t="n"/>
      <c r="S188" s="45" t="n"/>
      <c r="T188" s="47" t="n"/>
      <c r="U188" s="69" t="n"/>
      <c r="V188" s="77" t="n"/>
      <c r="W188" s="77" t="n"/>
      <c r="X188" s="77" t="n"/>
      <c r="Y188" s="77" t="n"/>
    </row>
    <row r="189" ht="13.5" customHeight="1">
      <c r="A189" s="56" t="n"/>
      <c r="B189" s="116" t="n"/>
      <c r="C189" s="117" t="n"/>
      <c r="D189" s="118" t="n"/>
      <c r="E189" s="103" t="n"/>
      <c r="F189" s="119" t="n"/>
      <c r="G189" s="120" t="n"/>
      <c r="H189" s="120" t="n"/>
      <c r="I189" s="69" t="n"/>
      <c r="J189" s="103" t="n"/>
      <c r="K189" s="122" t="n"/>
      <c r="L189" s="123" t="n"/>
      <c r="M189" s="124" t="n"/>
      <c r="N189" s="82" t="n"/>
      <c r="O189" s="73" t="n"/>
      <c r="Q189" s="51" t="n"/>
      <c r="R189" s="22" t="n"/>
      <c r="S189" s="45" t="n"/>
      <c r="T189" s="47" t="n"/>
      <c r="U189" s="69" t="n"/>
      <c r="V189" s="77" t="n"/>
      <c r="W189" s="77" t="n"/>
      <c r="X189" s="77" t="n"/>
      <c r="Y189" s="77" t="n"/>
    </row>
    <row r="190" ht="13.5" customHeight="1">
      <c r="A190" s="56" t="n"/>
      <c r="B190" s="116" t="n"/>
      <c r="C190" s="117" t="n"/>
      <c r="D190" s="118" t="n"/>
      <c r="E190" s="103" t="n"/>
      <c r="F190" s="119" t="n"/>
      <c r="G190" s="120" t="n"/>
      <c r="H190" s="120" t="n"/>
      <c r="I190" s="69" t="n"/>
      <c r="J190" s="103" t="n"/>
      <c r="K190" s="122" t="n"/>
      <c r="L190" s="123" t="n"/>
      <c r="M190" s="124" t="n"/>
      <c r="N190" s="82" t="n"/>
      <c r="O190" s="73" t="n"/>
      <c r="Q190" s="51" t="n"/>
      <c r="R190" s="22" t="n"/>
      <c r="S190" s="45" t="n"/>
      <c r="T190" s="47" t="n"/>
      <c r="U190" s="69" t="n"/>
      <c r="V190" s="77" t="n"/>
      <c r="W190" s="77" t="n"/>
      <c r="X190" s="77" t="n"/>
      <c r="Y190" s="77" t="n"/>
    </row>
    <row r="191" ht="13.5" customHeight="1">
      <c r="A191" s="56" t="n"/>
      <c r="B191" s="116" t="n"/>
      <c r="C191" s="117" t="n"/>
      <c r="D191" s="118" t="n"/>
      <c r="E191" s="103" t="n"/>
      <c r="F191" s="119" t="n"/>
      <c r="G191" s="120" t="n"/>
      <c r="H191" s="120" t="n"/>
      <c r="I191" s="69" t="n"/>
      <c r="J191" s="103" t="n"/>
      <c r="K191" s="122" t="n"/>
      <c r="L191" s="123" t="n"/>
      <c r="M191" s="124" t="n"/>
      <c r="N191" s="82" t="n"/>
      <c r="O191" s="73" t="n"/>
      <c r="Q191" s="51" t="n"/>
      <c r="R191" s="22" t="n"/>
      <c r="S191" s="45" t="n"/>
      <c r="T191" s="47" t="n"/>
      <c r="U191" s="69" t="n"/>
      <c r="V191" s="77" t="n"/>
      <c r="W191" s="77" t="n"/>
      <c r="X191" s="77" t="n"/>
      <c r="Y191" s="77" t="n"/>
    </row>
    <row r="192" ht="13.5" customHeight="1">
      <c r="A192" s="56" t="n"/>
      <c r="B192" s="116" t="n"/>
      <c r="C192" s="117" t="n"/>
      <c r="D192" s="118" t="n"/>
      <c r="E192" s="103" t="n"/>
      <c r="F192" s="119" t="n"/>
      <c r="G192" s="120" t="n"/>
      <c r="H192" s="120" t="n"/>
      <c r="I192" s="69" t="n"/>
      <c r="J192" s="103" t="n"/>
      <c r="K192" s="122" t="n"/>
      <c r="L192" s="123" t="n"/>
      <c r="M192" s="124" t="n"/>
      <c r="N192" s="82" t="n"/>
      <c r="O192" s="73" t="n"/>
      <c r="Q192" s="51" t="n"/>
      <c r="R192" s="22" t="n"/>
      <c r="S192" s="45" t="n"/>
      <c r="T192" s="47" t="n"/>
      <c r="U192" s="69" t="n"/>
      <c r="V192" s="77" t="n"/>
      <c r="W192" s="77" t="n"/>
      <c r="X192" s="77" t="n"/>
      <c r="Y192" s="77" t="n"/>
    </row>
    <row r="193" ht="13.5" customHeight="1">
      <c r="A193" s="56" t="n"/>
      <c r="B193" s="116" t="n"/>
      <c r="C193" s="117" t="n"/>
      <c r="D193" s="118" t="n"/>
      <c r="E193" s="103" t="n"/>
      <c r="F193" s="119" t="n"/>
      <c r="G193" s="120" t="n"/>
      <c r="H193" s="120" t="n"/>
      <c r="I193" s="69" t="n"/>
      <c r="J193" s="103" t="n"/>
      <c r="K193" s="122" t="n"/>
      <c r="L193" s="123" t="n"/>
      <c r="M193" s="124" t="n"/>
      <c r="N193" s="82" t="n"/>
      <c r="O193" s="73" t="n"/>
      <c r="Q193" s="51" t="n"/>
      <c r="R193" s="22" t="n"/>
      <c r="S193" s="45" t="n"/>
      <c r="T193" s="47" t="n"/>
      <c r="U193" s="69" t="n"/>
      <c r="V193" s="77" t="n"/>
      <c r="W193" s="77" t="n"/>
      <c r="X193" s="77" t="n"/>
      <c r="Y193" s="77" t="n"/>
    </row>
    <row r="194" ht="13.5" customHeight="1">
      <c r="A194" s="56" t="n"/>
      <c r="B194" s="116" t="n"/>
      <c r="C194" s="117" t="n"/>
      <c r="D194" s="118" t="n"/>
      <c r="E194" s="103" t="n"/>
      <c r="F194" s="119" t="n"/>
      <c r="G194" s="120" t="n"/>
      <c r="H194" s="120" t="n"/>
      <c r="I194" s="69" t="n"/>
      <c r="J194" s="103" t="n"/>
      <c r="K194" s="122" t="n"/>
      <c r="L194" s="123" t="n"/>
      <c r="M194" s="124" t="n"/>
      <c r="N194" s="82" t="n"/>
      <c r="O194" s="73" t="n"/>
      <c r="Q194" s="51" t="n"/>
      <c r="R194" s="22" t="n"/>
      <c r="S194" s="45" t="n"/>
      <c r="T194" s="47" t="n"/>
      <c r="U194" s="69" t="n"/>
      <c r="V194" s="77" t="n"/>
      <c r="W194" s="77" t="n"/>
      <c r="X194" s="77" t="n"/>
      <c r="Y194" s="77" t="n"/>
    </row>
    <row r="195" ht="13.5" customHeight="1">
      <c r="A195" s="56" t="n"/>
      <c r="B195" s="116" t="n"/>
      <c r="C195" s="117" t="n"/>
      <c r="D195" s="118" t="n"/>
      <c r="E195" s="103" t="n"/>
      <c r="F195" s="119" t="n"/>
      <c r="G195" s="120" t="n"/>
      <c r="H195" s="120" t="n"/>
      <c r="I195" s="69" t="n"/>
      <c r="J195" s="103" t="n"/>
      <c r="K195" s="122" t="n"/>
      <c r="L195" s="123" t="n"/>
      <c r="M195" s="124" t="n"/>
      <c r="N195" s="82" t="n"/>
      <c r="O195" s="73" t="n"/>
      <c r="Q195" s="51" t="n"/>
      <c r="R195" s="22" t="n"/>
      <c r="S195" s="45" t="n"/>
      <c r="T195" s="47" t="n"/>
      <c r="U195" s="69" t="n"/>
      <c r="V195" s="77" t="n"/>
      <c r="W195" s="77" t="n"/>
      <c r="X195" s="77" t="n"/>
      <c r="Y195" s="77" t="n"/>
    </row>
    <row r="196" ht="13.5" customHeight="1">
      <c r="A196" s="56" t="n"/>
      <c r="B196" s="116" t="n"/>
      <c r="C196" s="117" t="n"/>
      <c r="D196" s="118" t="n"/>
      <c r="E196" s="103" t="n"/>
      <c r="F196" s="119" t="n"/>
      <c r="G196" s="120" t="n"/>
      <c r="H196" s="120" t="n"/>
      <c r="I196" s="69" t="n"/>
      <c r="J196" s="103" t="n"/>
      <c r="K196" s="122" t="n"/>
      <c r="L196" s="123" t="n"/>
      <c r="M196" s="124" t="n"/>
      <c r="N196" s="82" t="n"/>
      <c r="O196" s="73" t="n"/>
      <c r="Q196" s="51" t="n"/>
      <c r="R196" s="22" t="n"/>
      <c r="S196" s="45" t="n"/>
      <c r="T196" s="47" t="n"/>
      <c r="U196" s="69" t="n"/>
      <c r="V196" s="77" t="n"/>
      <c r="W196" s="77" t="n"/>
      <c r="X196" s="77" t="n"/>
      <c r="Y196" s="77" t="n"/>
    </row>
    <row r="197" ht="13.5" customHeight="1">
      <c r="A197" s="56" t="n"/>
      <c r="B197" s="116" t="n"/>
      <c r="C197" s="117" t="n"/>
      <c r="D197" s="118" t="n"/>
      <c r="E197" s="103" t="n"/>
      <c r="F197" s="119" t="n"/>
      <c r="G197" s="120" t="n"/>
      <c r="H197" s="120" t="n"/>
      <c r="I197" s="69" t="n"/>
      <c r="J197" s="103" t="n"/>
      <c r="K197" s="122" t="n"/>
      <c r="L197" s="123" t="n"/>
      <c r="M197" s="124" t="n"/>
      <c r="N197" s="82" t="n"/>
      <c r="O197" s="73" t="n"/>
      <c r="Q197" s="51" t="n"/>
      <c r="R197" s="22" t="n"/>
      <c r="S197" s="45" t="n"/>
      <c r="T197" s="47" t="n"/>
      <c r="U197" s="69" t="n"/>
      <c r="V197" s="77" t="n"/>
      <c r="W197" s="77" t="n"/>
      <c r="X197" s="77" t="n"/>
      <c r="Y197" s="77" t="n"/>
    </row>
    <row r="198" ht="13.5" customHeight="1">
      <c r="A198" s="56" t="n"/>
      <c r="B198" s="116" t="n"/>
      <c r="C198" s="117" t="n"/>
      <c r="D198" s="118" t="n"/>
      <c r="E198" s="103" t="n"/>
      <c r="F198" s="119" t="n"/>
      <c r="G198" s="120" t="n"/>
      <c r="H198" s="120" t="n"/>
      <c r="I198" s="69" t="n"/>
      <c r="J198" s="103" t="n"/>
      <c r="K198" s="122" t="n"/>
      <c r="L198" s="123" t="n"/>
      <c r="M198" s="124" t="n"/>
      <c r="N198" s="82" t="n"/>
      <c r="O198" s="73" t="n"/>
      <c r="Q198" s="51" t="n"/>
      <c r="R198" s="22" t="n"/>
      <c r="S198" s="45" t="n"/>
      <c r="T198" s="47" t="n"/>
      <c r="U198" s="69" t="n"/>
      <c r="V198" s="77" t="n"/>
      <c r="W198" s="77" t="n"/>
      <c r="X198" s="77" t="n"/>
      <c r="Y198" s="77" t="n"/>
    </row>
    <row r="199" ht="13.5" customHeight="1">
      <c r="A199" s="56" t="n"/>
      <c r="B199" s="116" t="n"/>
      <c r="C199" s="117" t="n"/>
      <c r="D199" s="118" t="n"/>
      <c r="E199" s="103" t="n"/>
      <c r="F199" s="119" t="n"/>
      <c r="G199" s="120" t="n"/>
      <c r="H199" s="120" t="n"/>
      <c r="I199" s="69" t="n"/>
      <c r="J199" s="103" t="n"/>
      <c r="K199" s="122" t="n"/>
      <c r="L199" s="123" t="n"/>
      <c r="M199" s="124" t="n"/>
      <c r="N199" s="82" t="n"/>
      <c r="O199" s="73" t="n"/>
      <c r="Q199" s="51" t="n"/>
      <c r="R199" s="22" t="n"/>
      <c r="S199" s="45" t="n"/>
      <c r="T199" s="47" t="n"/>
      <c r="U199" s="69" t="n"/>
      <c r="V199" s="77" t="n"/>
      <c r="W199" s="77" t="n"/>
      <c r="X199" s="77" t="n"/>
      <c r="Y199" s="77" t="n"/>
    </row>
    <row r="200" ht="13.5" customHeight="1">
      <c r="A200" s="56" t="n"/>
      <c r="B200" s="116" t="n"/>
      <c r="C200" s="117" t="n"/>
      <c r="D200" s="118" t="n"/>
      <c r="E200" s="103" t="n"/>
      <c r="F200" s="119" t="n"/>
      <c r="G200" s="120" t="n"/>
      <c r="H200" s="120" t="n"/>
      <c r="I200" s="69" t="n"/>
      <c r="J200" s="103" t="n"/>
      <c r="K200" s="122" t="n"/>
      <c r="L200" s="123" t="n"/>
      <c r="M200" s="124" t="n"/>
      <c r="N200" s="82" t="n"/>
      <c r="O200" s="73" t="n"/>
      <c r="Q200" s="51" t="n"/>
      <c r="R200" s="22" t="n"/>
      <c r="S200" s="45" t="n"/>
      <c r="T200" s="47" t="n"/>
      <c r="U200" s="69" t="n"/>
      <c r="V200" s="77" t="n"/>
      <c r="W200" s="77" t="n"/>
      <c r="X200" s="77" t="n"/>
      <c r="Y200" s="77" t="n"/>
    </row>
    <row r="201" ht="13.5" customHeight="1">
      <c r="A201" s="56" t="n"/>
      <c r="B201" s="116" t="n"/>
      <c r="C201" s="117" t="n"/>
      <c r="D201" s="118" t="n"/>
      <c r="E201" s="103" t="n"/>
      <c r="F201" s="119" t="n"/>
      <c r="G201" s="120" t="n"/>
      <c r="H201" s="120" t="n"/>
      <c r="I201" s="69" t="n"/>
      <c r="J201" s="103" t="n"/>
      <c r="K201" s="122" t="n"/>
      <c r="L201" s="123" t="n"/>
      <c r="M201" s="124" t="n"/>
      <c r="N201" s="82" t="n"/>
      <c r="O201" s="73" t="n"/>
      <c r="Q201" s="51" t="n"/>
      <c r="R201" s="22" t="n"/>
      <c r="S201" s="45" t="n"/>
      <c r="T201" s="47" t="n"/>
      <c r="U201" s="69" t="n"/>
      <c r="V201" s="77" t="n"/>
      <c r="W201" s="77" t="n"/>
      <c r="X201" s="77" t="n"/>
      <c r="Y201" s="77" t="n"/>
    </row>
    <row r="202" ht="13.5" customHeight="1">
      <c r="A202" s="56" t="n"/>
      <c r="B202" s="116" t="n"/>
      <c r="C202" s="117" t="n"/>
      <c r="D202" s="118" t="n"/>
      <c r="E202" s="103" t="n"/>
      <c r="F202" s="119" t="n"/>
      <c r="G202" s="120" t="n"/>
      <c r="H202" s="120" t="n"/>
      <c r="I202" s="69" t="n"/>
      <c r="J202" s="103" t="n"/>
      <c r="K202" s="122" t="n"/>
      <c r="L202" s="123" t="n"/>
      <c r="M202" s="124" t="n"/>
      <c r="N202" s="82" t="n"/>
      <c r="O202" s="73" t="n"/>
      <c r="Q202" s="51" t="n"/>
      <c r="R202" s="22" t="n"/>
      <c r="S202" s="45" t="n"/>
      <c r="T202" s="47" t="n"/>
      <c r="U202" s="69" t="n"/>
      <c r="V202" s="77" t="n"/>
      <c r="W202" s="77" t="n"/>
      <c r="X202" s="77" t="n"/>
      <c r="Y202" s="77" t="n"/>
    </row>
    <row r="203" ht="13.5" customHeight="1">
      <c r="A203" s="56" t="n"/>
      <c r="B203" s="116" t="n"/>
      <c r="C203" s="117" t="n"/>
      <c r="D203" s="118" t="n"/>
      <c r="E203" s="103" t="n"/>
      <c r="F203" s="119" t="n"/>
      <c r="G203" s="120" t="n"/>
      <c r="H203" s="120" t="n"/>
      <c r="I203" s="69" t="n"/>
      <c r="J203" s="103" t="n"/>
      <c r="K203" s="122" t="n"/>
      <c r="L203" s="123" t="n"/>
      <c r="M203" s="124" t="n"/>
      <c r="N203" s="82" t="n"/>
      <c r="O203" s="73" t="n"/>
      <c r="Q203" s="51" t="n"/>
      <c r="R203" s="22" t="n"/>
      <c r="S203" s="45" t="n"/>
      <c r="T203" s="47" t="n"/>
      <c r="U203" s="69" t="n"/>
      <c r="V203" s="77" t="n"/>
      <c r="W203" s="77" t="n"/>
      <c r="X203" s="77" t="n"/>
      <c r="Y203" s="77" t="n"/>
    </row>
    <row r="204" ht="13.5" customHeight="1">
      <c r="A204" s="56" t="n"/>
      <c r="B204" s="116" t="n"/>
      <c r="C204" s="117" t="n"/>
      <c r="D204" s="118" t="n"/>
      <c r="E204" s="103" t="n"/>
      <c r="F204" s="119" t="n"/>
      <c r="G204" s="120" t="n"/>
      <c r="H204" s="120" t="n"/>
      <c r="I204" s="69" t="n"/>
      <c r="J204" s="103" t="n"/>
      <c r="K204" s="122" t="n"/>
      <c r="L204" s="123" t="n"/>
      <c r="M204" s="124" t="n"/>
      <c r="N204" s="82" t="n"/>
      <c r="O204" s="73" t="n"/>
      <c r="Q204" s="51" t="n"/>
      <c r="R204" s="22" t="n"/>
      <c r="S204" s="45" t="n"/>
      <c r="T204" s="47" t="n"/>
      <c r="U204" s="69" t="n"/>
      <c r="V204" s="77" t="n"/>
      <c r="W204" s="77" t="n"/>
      <c r="X204" s="77" t="n"/>
      <c r="Y204" s="77" t="n"/>
    </row>
    <row r="205" ht="13.5" customHeight="1">
      <c r="A205" s="56" t="n"/>
      <c r="B205" s="116" t="n"/>
      <c r="C205" s="117" t="n"/>
      <c r="D205" s="118" t="n"/>
      <c r="E205" s="103" t="n"/>
      <c r="F205" s="119" t="n"/>
      <c r="G205" s="120" t="n"/>
      <c r="H205" s="120" t="n"/>
      <c r="I205" s="69" t="n"/>
      <c r="J205" s="103" t="n"/>
      <c r="K205" s="122" t="n"/>
      <c r="L205" s="123" t="n"/>
      <c r="M205" s="124" t="n"/>
      <c r="N205" s="82" t="n"/>
      <c r="O205" s="73" t="n"/>
      <c r="Q205" s="51" t="n"/>
      <c r="R205" s="22" t="n"/>
      <c r="S205" s="45" t="n"/>
      <c r="T205" s="47" t="n"/>
      <c r="U205" s="69" t="n"/>
      <c r="V205" s="77" t="n"/>
      <c r="W205" s="77" t="n"/>
      <c r="X205" s="77" t="n"/>
      <c r="Y205" s="77" t="n"/>
    </row>
    <row r="206" ht="13.5" customHeight="1">
      <c r="A206" s="56" t="n"/>
      <c r="B206" s="116" t="n"/>
      <c r="C206" s="117" t="n"/>
      <c r="D206" s="118" t="n"/>
      <c r="E206" s="103" t="n"/>
      <c r="F206" s="119" t="n"/>
      <c r="G206" s="120" t="n"/>
      <c r="H206" s="120" t="n"/>
      <c r="I206" s="69" t="n"/>
      <c r="J206" s="103" t="n"/>
      <c r="K206" s="122" t="n"/>
      <c r="L206" s="123" t="n"/>
      <c r="M206" s="124" t="n"/>
      <c r="N206" s="82" t="n"/>
      <c r="O206" s="73" t="n"/>
      <c r="Q206" s="51" t="n"/>
      <c r="R206" s="22" t="n"/>
      <c r="S206" s="45" t="n"/>
      <c r="T206" s="47" t="n"/>
      <c r="U206" s="69" t="n"/>
      <c r="V206" s="77" t="n"/>
      <c r="W206" s="77" t="n"/>
      <c r="X206" s="77" t="n"/>
      <c r="Y206" s="77" t="n"/>
    </row>
    <row r="207" ht="13.5" customHeight="1">
      <c r="A207" s="56" t="n"/>
      <c r="B207" s="116" t="n"/>
      <c r="C207" s="117" t="n"/>
      <c r="D207" s="118" t="n"/>
      <c r="E207" s="103" t="n"/>
      <c r="F207" s="119" t="n"/>
      <c r="G207" s="120" t="n"/>
      <c r="H207" s="120" t="n"/>
      <c r="I207" s="69" t="n"/>
      <c r="J207" s="103" t="n"/>
      <c r="K207" s="122" t="n"/>
      <c r="L207" s="123" t="n"/>
      <c r="M207" s="124" t="n"/>
      <c r="N207" s="82" t="n"/>
      <c r="O207" s="73" t="n"/>
      <c r="Q207" s="51" t="n"/>
      <c r="R207" s="22" t="n"/>
      <c r="S207" s="45" t="n"/>
      <c r="T207" s="47" t="n"/>
      <c r="U207" s="69" t="n"/>
      <c r="V207" s="77" t="n"/>
      <c r="W207" s="77" t="n"/>
      <c r="X207" s="77" t="n"/>
      <c r="Y207" s="77" t="n"/>
    </row>
    <row r="208" ht="13.5" customHeight="1">
      <c r="A208" s="56" t="n"/>
      <c r="B208" s="116" t="n"/>
      <c r="C208" s="117" t="n"/>
      <c r="D208" s="118" t="n"/>
      <c r="E208" s="103" t="n"/>
      <c r="F208" s="119" t="n"/>
      <c r="G208" s="120" t="n"/>
      <c r="H208" s="120" t="n"/>
      <c r="I208" s="69" t="n"/>
      <c r="J208" s="103" t="n"/>
      <c r="K208" s="122" t="n"/>
      <c r="L208" s="123" t="n"/>
      <c r="M208" s="124" t="n"/>
      <c r="N208" s="82" t="n"/>
      <c r="O208" s="73" t="n"/>
      <c r="Q208" s="51" t="n"/>
      <c r="R208" s="22" t="n"/>
      <c r="S208" s="45" t="n"/>
      <c r="T208" s="47" t="n"/>
      <c r="U208" s="69" t="n"/>
      <c r="V208" s="77" t="n"/>
      <c r="W208" s="77" t="n"/>
      <c r="X208" s="77" t="n"/>
      <c r="Y208" s="77" t="n"/>
    </row>
    <row r="209" ht="13.5" customHeight="1">
      <c r="A209" s="56" t="n"/>
      <c r="B209" s="116" t="n"/>
      <c r="C209" s="117" t="n"/>
      <c r="D209" s="118" t="n"/>
      <c r="E209" s="103" t="n"/>
      <c r="F209" s="119" t="n"/>
      <c r="G209" s="120" t="n"/>
      <c r="H209" s="120" t="n"/>
      <c r="I209" s="69" t="n"/>
      <c r="J209" s="103" t="n"/>
      <c r="K209" s="122" t="n"/>
      <c r="L209" s="123" t="n"/>
      <c r="M209" s="124" t="n"/>
      <c r="N209" s="82" t="n"/>
      <c r="O209" s="73" t="n"/>
      <c r="Q209" s="51" t="n"/>
      <c r="R209" s="22" t="n"/>
      <c r="S209" s="45" t="n"/>
      <c r="T209" s="47" t="n"/>
      <c r="U209" s="69" t="n"/>
      <c r="V209" s="77" t="n"/>
      <c r="W209" s="77" t="n"/>
      <c r="X209" s="77" t="n"/>
      <c r="Y209" s="77" t="n"/>
    </row>
    <row r="210" ht="13.5" customHeight="1">
      <c r="A210" s="56" t="n"/>
      <c r="B210" s="116" t="n"/>
      <c r="C210" s="117" t="n"/>
      <c r="D210" s="118" t="n"/>
      <c r="E210" s="103" t="n"/>
      <c r="F210" s="119" t="n"/>
      <c r="G210" s="120" t="n"/>
      <c r="H210" s="120" t="n"/>
      <c r="I210" s="69" t="n"/>
      <c r="J210" s="103" t="n"/>
      <c r="K210" s="122" t="n"/>
      <c r="L210" s="123" t="n"/>
      <c r="M210" s="124" t="n"/>
      <c r="N210" s="82" t="n"/>
      <c r="O210" s="73" t="n"/>
      <c r="Q210" s="51" t="n"/>
      <c r="R210" s="22" t="n"/>
      <c r="S210" s="45" t="n"/>
      <c r="T210" s="47" t="n"/>
      <c r="U210" s="69" t="n"/>
      <c r="V210" s="77" t="n"/>
      <c r="W210" s="77" t="n"/>
      <c r="X210" s="77" t="n"/>
      <c r="Y210" s="77" t="n"/>
    </row>
    <row r="211" ht="13.5" customHeight="1">
      <c r="A211" s="56" t="n"/>
      <c r="B211" s="116" t="n"/>
      <c r="C211" s="117" t="n"/>
      <c r="D211" s="118" t="n"/>
      <c r="E211" s="103" t="n"/>
      <c r="F211" s="119" t="n"/>
      <c r="G211" s="120" t="n"/>
      <c r="H211" s="120" t="n"/>
      <c r="I211" s="69" t="n"/>
      <c r="J211" s="103" t="n"/>
      <c r="K211" s="122" t="n"/>
      <c r="L211" s="123" t="n"/>
      <c r="M211" s="124" t="n"/>
      <c r="N211" s="82" t="n"/>
      <c r="O211" s="73" t="n"/>
      <c r="Q211" s="51" t="n"/>
      <c r="R211" s="22" t="n"/>
      <c r="S211" s="45" t="n"/>
      <c r="T211" s="47" t="n"/>
      <c r="U211" s="69" t="n"/>
      <c r="V211" s="77" t="n"/>
      <c r="W211" s="77" t="n"/>
      <c r="X211" s="77" t="n"/>
      <c r="Y211" s="77" t="n"/>
    </row>
    <row r="212" ht="13.5" customHeight="1">
      <c r="A212" s="56" t="n"/>
      <c r="B212" s="116" t="n"/>
      <c r="C212" s="117" t="n"/>
      <c r="D212" s="118" t="n"/>
      <c r="E212" s="103" t="n"/>
      <c r="F212" s="119" t="n"/>
      <c r="G212" s="120" t="n"/>
      <c r="H212" s="120" t="n"/>
      <c r="I212" s="69" t="n"/>
      <c r="J212" s="103" t="n"/>
      <c r="K212" s="122" t="n"/>
      <c r="L212" s="123" t="n"/>
      <c r="M212" s="124" t="n"/>
      <c r="N212" s="82" t="n"/>
      <c r="O212" s="73" t="n"/>
      <c r="Q212" s="51" t="n"/>
      <c r="R212" s="22" t="n"/>
      <c r="S212" s="45" t="n"/>
      <c r="T212" s="47" t="n"/>
      <c r="U212" s="69" t="n"/>
      <c r="V212" s="77" t="n"/>
      <c r="W212" s="77" t="n"/>
      <c r="X212" s="77" t="n"/>
      <c r="Y212" s="77" t="n"/>
    </row>
    <row r="213" ht="13.5" customHeight="1">
      <c r="A213" s="56" t="n"/>
      <c r="B213" s="116" t="n"/>
      <c r="C213" s="117" t="n"/>
      <c r="D213" s="118" t="n"/>
      <c r="E213" s="103" t="n"/>
      <c r="F213" s="119" t="n"/>
      <c r="G213" s="120" t="n"/>
      <c r="H213" s="120" t="n"/>
      <c r="I213" s="69" t="n"/>
      <c r="J213" s="103" t="n"/>
      <c r="K213" s="122" t="n"/>
      <c r="L213" s="123" t="n"/>
      <c r="M213" s="124" t="n"/>
      <c r="N213" s="82" t="n"/>
      <c r="O213" s="73" t="n"/>
      <c r="Q213" s="51" t="n"/>
      <c r="R213" s="22" t="n"/>
      <c r="S213" s="45" t="n"/>
      <c r="T213" s="47" t="n"/>
      <c r="U213" s="69" t="n"/>
      <c r="V213" s="77" t="n"/>
      <c r="W213" s="77" t="n"/>
      <c r="X213" s="77" t="n"/>
      <c r="Y213" s="77" t="n"/>
    </row>
    <row r="214" ht="13.5" customHeight="1">
      <c r="A214" s="56" t="n"/>
      <c r="B214" s="116" t="n"/>
      <c r="C214" s="117" t="n"/>
      <c r="D214" s="118" t="n"/>
      <c r="E214" s="103" t="n"/>
      <c r="F214" s="119" t="n"/>
      <c r="G214" s="120" t="n"/>
      <c r="H214" s="120" t="n"/>
      <c r="I214" s="69" t="n"/>
      <c r="J214" s="103" t="n"/>
      <c r="K214" s="122" t="n"/>
      <c r="L214" s="123" t="n"/>
      <c r="M214" s="124" t="n"/>
      <c r="N214" s="82" t="n"/>
      <c r="O214" s="73" t="n"/>
      <c r="Q214" s="51" t="n"/>
      <c r="R214" s="22" t="n"/>
      <c r="S214" s="45" t="n"/>
      <c r="T214" s="47" t="n"/>
      <c r="U214" s="69" t="n"/>
      <c r="V214" s="77" t="n"/>
      <c r="W214" s="77" t="n"/>
      <c r="X214" s="77" t="n"/>
      <c r="Y214" s="77" t="n"/>
    </row>
    <row r="215" ht="13.5" customHeight="1">
      <c r="A215" s="56" t="n"/>
      <c r="B215" s="116" t="n"/>
      <c r="C215" s="117" t="n"/>
      <c r="D215" s="118" t="n"/>
      <c r="E215" s="103" t="n"/>
      <c r="F215" s="119" t="n"/>
      <c r="G215" s="120" t="n"/>
      <c r="H215" s="120" t="n"/>
      <c r="I215" s="69" t="n"/>
      <c r="J215" s="103" t="n"/>
      <c r="K215" s="122" t="n"/>
      <c r="L215" s="123" t="n"/>
      <c r="M215" s="124" t="n"/>
      <c r="N215" s="82" t="n"/>
      <c r="O215" s="73" t="n"/>
      <c r="Q215" s="51" t="n"/>
      <c r="R215" s="22" t="n"/>
      <c r="S215" s="45" t="n"/>
      <c r="T215" s="47" t="n"/>
      <c r="U215" s="69" t="n"/>
      <c r="V215" s="77" t="n"/>
      <c r="W215" s="77" t="n"/>
      <c r="X215" s="77" t="n"/>
      <c r="Y215" s="77" t="n"/>
    </row>
    <row r="216" ht="13.5" customHeight="1">
      <c r="A216" s="56" t="n"/>
      <c r="B216" s="116" t="n"/>
      <c r="C216" s="117" t="n"/>
      <c r="D216" s="118" t="n"/>
      <c r="E216" s="103" t="n"/>
      <c r="F216" s="119" t="n"/>
      <c r="G216" s="120" t="n"/>
      <c r="H216" s="120" t="n"/>
      <c r="I216" s="69" t="n"/>
      <c r="J216" s="103" t="n"/>
      <c r="K216" s="122" t="n"/>
      <c r="L216" s="123" t="n"/>
      <c r="M216" s="124" t="n"/>
      <c r="N216" s="82" t="n"/>
      <c r="O216" s="73" t="n"/>
      <c r="Q216" s="51" t="n"/>
      <c r="R216" s="22" t="n"/>
      <c r="S216" s="45" t="n"/>
      <c r="T216" s="47" t="n"/>
      <c r="U216" s="69" t="n"/>
      <c r="V216" s="77" t="n"/>
      <c r="W216" s="77" t="n"/>
      <c r="X216" s="77" t="n"/>
      <c r="Y216" s="77" t="n"/>
    </row>
    <row r="217" ht="13.5" customHeight="1">
      <c r="A217" s="56" t="n"/>
      <c r="B217" s="116" t="n"/>
      <c r="C217" s="117" t="n"/>
      <c r="D217" s="118" t="n"/>
      <c r="E217" s="103" t="n"/>
      <c r="F217" s="119" t="n"/>
      <c r="G217" s="120" t="n"/>
      <c r="H217" s="120" t="n"/>
      <c r="I217" s="69" t="n"/>
      <c r="J217" s="103" t="n"/>
      <c r="K217" s="122" t="n"/>
      <c r="L217" s="123" t="n"/>
      <c r="M217" s="124" t="n"/>
      <c r="N217" s="82" t="n"/>
      <c r="O217" s="73" t="n"/>
      <c r="Q217" s="51" t="n"/>
      <c r="R217" s="22" t="n"/>
      <c r="S217" s="45" t="n"/>
      <c r="T217" s="47" t="n"/>
      <c r="U217" s="69" t="n"/>
      <c r="V217" s="77" t="n"/>
      <c r="W217" s="77" t="n"/>
      <c r="X217" s="77" t="n"/>
      <c r="Y217" s="77" t="n"/>
    </row>
    <row r="218" ht="13.5" customHeight="1">
      <c r="A218" s="56" t="n"/>
      <c r="B218" s="116" t="n"/>
      <c r="C218" s="117" t="n"/>
      <c r="D218" s="118" t="n"/>
      <c r="E218" s="103" t="n"/>
      <c r="F218" s="119" t="n"/>
      <c r="G218" s="120" t="n"/>
      <c r="H218" s="120" t="n"/>
      <c r="I218" s="69" t="n"/>
      <c r="J218" s="103" t="n"/>
      <c r="K218" s="122" t="n"/>
      <c r="L218" s="123" t="n"/>
      <c r="M218" s="124" t="n"/>
      <c r="N218" s="82" t="n"/>
      <c r="O218" s="73" t="n"/>
      <c r="Q218" s="51" t="n"/>
      <c r="R218" s="22" t="n"/>
      <c r="S218" s="45" t="n"/>
      <c r="T218" s="47" t="n"/>
      <c r="U218" s="69" t="n"/>
      <c r="V218" s="77" t="n"/>
      <c r="W218" s="77" t="n"/>
      <c r="X218" s="77" t="n"/>
      <c r="Y218" s="77" t="n"/>
    </row>
    <row r="219" ht="13.5" customHeight="1">
      <c r="A219" s="56" t="n"/>
      <c r="B219" s="116" t="n"/>
      <c r="C219" s="117" t="n"/>
      <c r="D219" s="118" t="n"/>
      <c r="E219" s="103" t="n"/>
      <c r="F219" s="119" t="n"/>
      <c r="G219" s="120" t="n"/>
      <c r="H219" s="120" t="n"/>
      <c r="I219" s="69" t="n"/>
      <c r="J219" s="103" t="n"/>
      <c r="K219" s="122" t="n"/>
      <c r="L219" s="123" t="n"/>
      <c r="M219" s="124" t="n"/>
      <c r="N219" s="82" t="n"/>
      <c r="O219" s="73" t="n"/>
      <c r="Q219" s="51" t="n"/>
      <c r="R219" s="22" t="n"/>
      <c r="S219" s="45" t="n"/>
      <c r="T219" s="47" t="n"/>
      <c r="U219" s="69" t="n"/>
      <c r="V219" s="77" t="n"/>
      <c r="W219" s="77" t="n"/>
      <c r="X219" s="77" t="n"/>
      <c r="Y219" s="77" t="n"/>
    </row>
    <row r="220" ht="13.5" customHeight="1">
      <c r="A220" s="56" t="n"/>
      <c r="B220" s="116" t="n"/>
      <c r="C220" s="117" t="n"/>
      <c r="D220" s="118" t="n"/>
      <c r="E220" s="103" t="n"/>
      <c r="F220" s="119" t="n"/>
      <c r="G220" s="120" t="n"/>
      <c r="H220" s="120" t="n"/>
      <c r="I220" s="69" t="n"/>
      <c r="J220" s="103" t="n"/>
      <c r="K220" s="122" t="n"/>
      <c r="L220" s="123" t="n"/>
      <c r="M220" s="124" t="n"/>
      <c r="N220" s="82" t="n"/>
      <c r="O220" s="73" t="n"/>
      <c r="Q220" s="51" t="n"/>
      <c r="R220" s="22" t="n"/>
      <c r="S220" s="45" t="n"/>
      <c r="T220" s="47" t="n"/>
      <c r="U220" s="69" t="n"/>
      <c r="V220" s="77" t="n"/>
      <c r="W220" s="77" t="n"/>
      <c r="X220" s="77" t="n"/>
      <c r="Y220" s="77" t="n"/>
    </row>
    <row r="221" ht="13.5" customHeight="1">
      <c r="A221" s="56" t="n"/>
      <c r="B221" s="116" t="n"/>
      <c r="C221" s="117" t="n"/>
      <c r="D221" s="118" t="n"/>
      <c r="E221" s="103" t="n"/>
      <c r="F221" s="119" t="n"/>
      <c r="G221" s="120" t="n"/>
      <c r="H221" s="120" t="n"/>
      <c r="I221" s="69" t="n"/>
      <c r="J221" s="103" t="n"/>
      <c r="K221" s="122" t="n"/>
      <c r="L221" s="123" t="n"/>
      <c r="M221" s="124" t="n"/>
      <c r="N221" s="82" t="n"/>
      <c r="O221" s="73" t="n"/>
      <c r="Q221" s="51" t="n"/>
      <c r="R221" s="22" t="n"/>
      <c r="S221" s="45" t="n"/>
      <c r="T221" s="47" t="n"/>
      <c r="U221" s="69" t="n"/>
      <c r="V221" s="77" t="n"/>
      <c r="W221" s="77" t="n"/>
      <c r="X221" s="77" t="n"/>
      <c r="Y221" s="77" t="n"/>
    </row>
    <row r="222" ht="13.5" customHeight="1">
      <c r="A222" s="56" t="n"/>
      <c r="B222" s="116" t="n"/>
      <c r="C222" s="117" t="n"/>
      <c r="D222" s="118" t="n"/>
      <c r="E222" s="103" t="n"/>
      <c r="F222" s="119" t="n"/>
      <c r="G222" s="120" t="n"/>
      <c r="H222" s="120" t="n"/>
      <c r="I222" s="69" t="n"/>
      <c r="J222" s="103" t="n"/>
      <c r="K222" s="122" t="n"/>
      <c r="L222" s="123" t="n"/>
      <c r="M222" s="124" t="n"/>
      <c r="N222" s="82" t="n"/>
      <c r="O222" s="73" t="n"/>
      <c r="Q222" s="51" t="n"/>
      <c r="R222" s="22" t="n"/>
      <c r="S222" s="45" t="n"/>
      <c r="T222" s="47" t="n"/>
      <c r="U222" s="69" t="n"/>
      <c r="V222" s="77" t="n"/>
      <c r="W222" s="77" t="n"/>
      <c r="X222" s="77" t="n"/>
      <c r="Y222" s="77" t="n"/>
    </row>
    <row r="223" ht="13.5" customHeight="1">
      <c r="A223" s="56" t="n"/>
      <c r="B223" s="116" t="n"/>
      <c r="C223" s="117" t="n"/>
      <c r="D223" s="118" t="n"/>
      <c r="E223" s="103" t="n"/>
      <c r="F223" s="119" t="n"/>
      <c r="G223" s="120" t="n"/>
      <c r="H223" s="120" t="n"/>
      <c r="I223" s="69" t="n"/>
      <c r="J223" s="103" t="n"/>
      <c r="K223" s="122" t="n"/>
      <c r="L223" s="123" t="n"/>
      <c r="M223" s="124" t="n"/>
      <c r="N223" s="82" t="n"/>
      <c r="O223" s="73" t="n"/>
      <c r="Q223" s="51" t="n"/>
      <c r="R223" s="22" t="n"/>
      <c r="S223" s="45" t="n"/>
      <c r="T223" s="47" t="n"/>
      <c r="U223" s="69" t="n"/>
      <c r="V223" s="77" t="n"/>
      <c r="W223" s="77" t="n"/>
      <c r="X223" s="77" t="n"/>
      <c r="Y223" s="77" t="n"/>
    </row>
    <row r="224" ht="13.5" customHeight="1">
      <c r="A224" s="56" t="n"/>
      <c r="B224" s="116" t="n"/>
      <c r="C224" s="117" t="n"/>
      <c r="D224" s="118" t="n"/>
      <c r="E224" s="103" t="n"/>
      <c r="F224" s="119" t="n"/>
      <c r="G224" s="120" t="n"/>
      <c r="H224" s="120" t="n"/>
      <c r="I224" s="69" t="n"/>
      <c r="J224" s="103" t="n"/>
      <c r="K224" s="122" t="n"/>
      <c r="L224" s="123" t="n"/>
      <c r="M224" s="124" t="n"/>
      <c r="N224" s="82" t="n"/>
      <c r="O224" s="73" t="n"/>
      <c r="Q224" s="51" t="n"/>
      <c r="R224" s="22" t="n"/>
      <c r="S224" s="45" t="n"/>
      <c r="T224" s="47" t="n"/>
      <c r="U224" s="69" t="n"/>
      <c r="V224" s="77" t="n"/>
      <c r="W224" s="77" t="n"/>
      <c r="X224" s="77" t="n"/>
      <c r="Y224" s="77" t="n"/>
    </row>
    <row r="225" ht="13.5" customHeight="1">
      <c r="A225" s="56" t="n"/>
      <c r="B225" s="116" t="n"/>
      <c r="C225" s="117" t="n"/>
      <c r="D225" s="118" t="n"/>
      <c r="E225" s="103" t="n"/>
      <c r="F225" s="119" t="n"/>
      <c r="G225" s="120" t="n"/>
      <c r="H225" s="120" t="n"/>
      <c r="I225" s="69" t="n"/>
      <c r="J225" s="103" t="n"/>
      <c r="K225" s="122" t="n"/>
      <c r="L225" s="123" t="n"/>
      <c r="M225" s="124" t="n"/>
      <c r="N225" s="82" t="n"/>
      <c r="O225" s="73" t="n"/>
      <c r="Q225" s="51" t="n"/>
      <c r="R225" s="22" t="n"/>
      <c r="S225" s="45" t="n"/>
      <c r="T225" s="47" t="n"/>
      <c r="U225" s="69" t="n"/>
      <c r="V225" s="77" t="n"/>
      <c r="W225" s="77" t="n"/>
      <c r="X225" s="77" t="n"/>
      <c r="Y225" s="77" t="n"/>
    </row>
    <row r="226" ht="13.5" customHeight="1">
      <c r="A226" s="56" t="n"/>
      <c r="B226" s="116" t="n"/>
      <c r="C226" s="117" t="n"/>
      <c r="D226" s="118" t="n"/>
      <c r="E226" s="103" t="n"/>
      <c r="F226" s="119" t="n"/>
      <c r="G226" s="120" t="n"/>
      <c r="H226" s="120" t="n"/>
      <c r="I226" s="69" t="n"/>
      <c r="J226" s="103" t="n"/>
      <c r="K226" s="122" t="n"/>
      <c r="L226" s="123" t="n"/>
      <c r="M226" s="124" t="n"/>
      <c r="N226" s="82" t="n"/>
      <c r="O226" s="73" t="n"/>
      <c r="Q226" s="51" t="n"/>
      <c r="R226" s="22" t="n"/>
      <c r="S226" s="45" t="n"/>
      <c r="T226" s="47" t="n"/>
      <c r="U226" s="69" t="n"/>
      <c r="V226" s="77" t="n"/>
      <c r="W226" s="77" t="n"/>
      <c r="X226" s="77" t="n"/>
      <c r="Y226" s="77" t="n"/>
    </row>
    <row r="227" ht="13.5" customHeight="1">
      <c r="A227" s="56" t="n"/>
      <c r="B227" s="116" t="n"/>
      <c r="C227" s="117" t="n"/>
      <c r="D227" s="118" t="n"/>
      <c r="E227" s="103" t="n"/>
      <c r="F227" s="119" t="n"/>
      <c r="G227" s="120" t="n"/>
      <c r="H227" s="120" t="n"/>
      <c r="I227" s="69" t="n"/>
      <c r="J227" s="103" t="n"/>
      <c r="K227" s="122" t="n"/>
      <c r="L227" s="123" t="n"/>
      <c r="M227" s="124" t="n"/>
      <c r="N227" s="82" t="n"/>
      <c r="O227" s="73" t="n"/>
      <c r="Q227" s="51" t="n"/>
      <c r="R227" s="22" t="n"/>
      <c r="S227" s="45" t="n"/>
      <c r="T227" s="47" t="n"/>
      <c r="U227" s="69" t="n"/>
      <c r="V227" s="77" t="n"/>
      <c r="W227" s="77" t="n"/>
      <c r="X227" s="77" t="n"/>
      <c r="Y227" s="77" t="n"/>
    </row>
    <row r="228" ht="13.5" customHeight="1">
      <c r="A228" s="56" t="n"/>
      <c r="B228" s="116" t="n"/>
      <c r="C228" s="117" t="n"/>
      <c r="D228" s="118" t="n"/>
      <c r="E228" s="103" t="n"/>
      <c r="F228" s="119" t="n"/>
      <c r="G228" s="120" t="n"/>
      <c r="H228" s="120" t="n"/>
      <c r="I228" s="69" t="n"/>
      <c r="J228" s="103" t="n"/>
      <c r="K228" s="122" t="n"/>
      <c r="L228" s="123" t="n"/>
      <c r="M228" s="124" t="n"/>
      <c r="N228" s="82" t="n"/>
      <c r="O228" s="73" t="n"/>
      <c r="Q228" s="51" t="n"/>
      <c r="R228" s="22" t="n"/>
      <c r="S228" s="45" t="n"/>
      <c r="T228" s="47" t="n"/>
      <c r="U228" s="69" t="n"/>
      <c r="V228" s="77" t="n"/>
      <c r="W228" s="77" t="n"/>
      <c r="X228" s="77" t="n"/>
      <c r="Y228" s="77" t="n"/>
    </row>
    <row r="229" ht="13.5" customHeight="1">
      <c r="A229" s="56" t="n"/>
      <c r="B229" s="116" t="n"/>
      <c r="C229" s="117" t="n"/>
      <c r="D229" s="118" t="n"/>
      <c r="E229" s="103" t="n"/>
      <c r="F229" s="119" t="n"/>
      <c r="G229" s="120" t="n"/>
      <c r="H229" s="120" t="n"/>
      <c r="I229" s="69" t="n"/>
      <c r="J229" s="103" t="n"/>
      <c r="K229" s="122" t="n"/>
      <c r="L229" s="123" t="n"/>
      <c r="M229" s="124" t="n"/>
      <c r="N229" s="82" t="n"/>
      <c r="O229" s="73" t="n"/>
      <c r="Q229" s="51" t="n"/>
      <c r="R229" s="22" t="n"/>
      <c r="S229" s="45" t="n"/>
      <c r="T229" s="47" t="n"/>
      <c r="U229" s="69" t="n"/>
      <c r="V229" s="77" t="n"/>
      <c r="W229" s="77" t="n"/>
      <c r="X229" s="77" t="n"/>
      <c r="Y229" s="77" t="n"/>
    </row>
    <row r="230" ht="13.5" customHeight="1">
      <c r="A230" s="56" t="n"/>
      <c r="B230" s="116" t="n"/>
      <c r="C230" s="117" t="n"/>
      <c r="D230" s="118" t="n"/>
      <c r="E230" s="103" t="n"/>
      <c r="F230" s="119" t="n"/>
      <c r="G230" s="120" t="n"/>
      <c r="H230" s="120" t="n"/>
      <c r="I230" s="69" t="n"/>
      <c r="J230" s="103" t="n"/>
      <c r="K230" s="122" t="n"/>
      <c r="L230" s="123" t="n"/>
      <c r="M230" s="124" t="n"/>
      <c r="N230" s="82" t="n"/>
      <c r="O230" s="73" t="n"/>
      <c r="Q230" s="51" t="n"/>
      <c r="R230" s="22" t="n"/>
      <c r="S230" s="45" t="n"/>
      <c r="T230" s="47" t="n"/>
      <c r="U230" s="69" t="n"/>
      <c r="V230" s="77" t="n"/>
      <c r="W230" s="77" t="n"/>
      <c r="X230" s="77" t="n"/>
      <c r="Y230" s="77" t="n"/>
    </row>
    <row r="231" ht="13.5" customHeight="1">
      <c r="A231" s="56" t="n"/>
      <c r="B231" s="116" t="n"/>
      <c r="C231" s="117" t="n"/>
      <c r="D231" s="118" t="n"/>
      <c r="E231" s="103" t="n"/>
      <c r="F231" s="119" t="n"/>
      <c r="G231" s="120" t="n"/>
      <c r="H231" s="120" t="n"/>
      <c r="I231" s="69" t="n"/>
      <c r="J231" s="103" t="n"/>
      <c r="K231" s="122" t="n"/>
      <c r="L231" s="123" t="n"/>
      <c r="M231" s="124" t="n"/>
      <c r="N231" s="82" t="n"/>
      <c r="O231" s="73" t="n"/>
      <c r="Q231" s="51" t="n"/>
      <c r="R231" s="22" t="n"/>
      <c r="S231" s="45" t="n"/>
      <c r="T231" s="47" t="n"/>
      <c r="U231" s="69" t="n"/>
      <c r="V231" s="77" t="n"/>
      <c r="W231" s="77" t="n"/>
      <c r="X231" s="77" t="n"/>
      <c r="Y231" s="77" t="n"/>
    </row>
    <row r="232" ht="13.5" customHeight="1">
      <c r="A232" s="56" t="n"/>
      <c r="B232" s="116" t="n"/>
      <c r="C232" s="117" t="n"/>
      <c r="D232" s="118" t="n"/>
      <c r="E232" s="103" t="n"/>
      <c r="F232" s="119" t="n"/>
      <c r="G232" s="120" t="n"/>
      <c r="H232" s="120" t="n"/>
      <c r="I232" s="69" t="n"/>
      <c r="J232" s="103" t="n"/>
      <c r="K232" s="122" t="n"/>
      <c r="L232" s="123" t="n"/>
      <c r="M232" s="124" t="n"/>
      <c r="N232" s="82" t="n"/>
      <c r="O232" s="73" t="n"/>
      <c r="Q232" s="51" t="n"/>
      <c r="R232" s="22" t="n"/>
      <c r="S232" s="45" t="n"/>
      <c r="T232" s="47" t="n"/>
      <c r="U232" s="69" t="n"/>
      <c r="V232" s="77" t="n"/>
      <c r="W232" s="77" t="n"/>
      <c r="X232" s="77" t="n"/>
      <c r="Y232" s="77" t="n"/>
    </row>
    <row r="233" ht="13.5" customHeight="1">
      <c r="A233" s="56" t="n"/>
      <c r="B233" s="116" t="n"/>
      <c r="C233" s="117" t="n"/>
      <c r="D233" s="118" t="n"/>
      <c r="E233" s="103" t="n"/>
      <c r="F233" s="119" t="n"/>
      <c r="G233" s="120" t="n"/>
      <c r="H233" s="120" t="n"/>
      <c r="I233" s="69" t="n"/>
      <c r="J233" s="103" t="n"/>
      <c r="K233" s="122" t="n"/>
      <c r="L233" s="123" t="n"/>
      <c r="M233" s="124" t="n"/>
      <c r="N233" s="82" t="n"/>
      <c r="O233" s="73" t="n"/>
      <c r="Q233" s="51" t="n"/>
      <c r="R233" s="22" t="n"/>
      <c r="S233" s="45" t="n"/>
      <c r="T233" s="47" t="n"/>
      <c r="U233" s="69" t="n"/>
      <c r="V233" s="77" t="n"/>
      <c r="W233" s="77" t="n"/>
      <c r="X233" s="77" t="n"/>
      <c r="Y233" s="77" t="n"/>
    </row>
    <row r="234" ht="13.5" customHeight="1">
      <c r="A234" s="56" t="n"/>
      <c r="B234" s="116" t="n"/>
      <c r="C234" s="117" t="n"/>
      <c r="D234" s="118" t="n"/>
      <c r="E234" s="103" t="n"/>
      <c r="F234" s="119" t="n"/>
      <c r="G234" s="120" t="n"/>
      <c r="H234" s="120" t="n"/>
      <c r="I234" s="69" t="n"/>
      <c r="J234" s="103" t="n"/>
      <c r="K234" s="122" t="n"/>
      <c r="L234" s="123" t="n"/>
      <c r="M234" s="124" t="n"/>
      <c r="N234" s="82" t="n"/>
      <c r="O234" s="73" t="n"/>
      <c r="Q234" s="51" t="n"/>
      <c r="R234" s="22" t="n"/>
      <c r="S234" s="45" t="n"/>
      <c r="T234" s="47" t="n"/>
      <c r="U234" s="69" t="n"/>
      <c r="V234" s="77" t="n"/>
      <c r="W234" s="77" t="n"/>
      <c r="X234" s="77" t="n"/>
      <c r="Y234" s="77" t="n"/>
    </row>
    <row r="235" ht="13.5" customHeight="1">
      <c r="A235" s="56" t="n"/>
      <c r="B235" s="116" t="n"/>
      <c r="C235" s="117" t="n"/>
      <c r="D235" s="118" t="n"/>
      <c r="E235" s="103" t="n"/>
      <c r="F235" s="119" t="n"/>
      <c r="G235" s="120" t="n"/>
      <c r="H235" s="120" t="n"/>
      <c r="I235" s="69" t="n"/>
      <c r="J235" s="103" t="n"/>
      <c r="K235" s="122" t="n"/>
      <c r="L235" s="123" t="n"/>
      <c r="M235" s="124" t="n"/>
      <c r="N235" s="82" t="n"/>
      <c r="O235" s="73" t="n"/>
      <c r="Q235" s="51" t="n"/>
      <c r="R235" s="22" t="n"/>
      <c r="S235" s="45" t="n"/>
      <c r="T235" s="47" t="n"/>
      <c r="U235" s="69" t="n"/>
      <c r="V235" s="77" t="n"/>
      <c r="W235" s="77" t="n"/>
      <c r="X235" s="77" t="n"/>
      <c r="Y235" s="77" t="n"/>
    </row>
    <row r="236" ht="13.5" customHeight="1">
      <c r="A236" s="56" t="n"/>
      <c r="B236" s="116" t="n"/>
      <c r="C236" s="117" t="n"/>
      <c r="D236" s="118" t="n"/>
      <c r="E236" s="103" t="n"/>
      <c r="F236" s="119" t="n"/>
      <c r="G236" s="120" t="n"/>
      <c r="H236" s="120" t="n"/>
      <c r="I236" s="69" t="n"/>
      <c r="J236" s="103" t="n"/>
      <c r="K236" s="122" t="n"/>
      <c r="L236" s="123" t="n"/>
      <c r="M236" s="124" t="n"/>
      <c r="N236" s="82" t="n"/>
      <c r="O236" s="73" t="n"/>
      <c r="Q236" s="51" t="n"/>
      <c r="R236" s="22" t="n"/>
      <c r="S236" s="45" t="n"/>
      <c r="T236" s="47" t="n"/>
      <c r="U236" s="69" t="n"/>
      <c r="V236" s="77" t="n"/>
      <c r="W236" s="77" t="n"/>
      <c r="X236" s="77" t="n"/>
      <c r="Y236" s="77" t="n"/>
    </row>
    <row r="237" ht="13.5" customHeight="1">
      <c r="A237" s="56" t="n"/>
      <c r="B237" s="116" t="n"/>
      <c r="C237" s="117" t="n"/>
      <c r="D237" s="118" t="n"/>
      <c r="E237" s="103" t="n"/>
      <c r="F237" s="119" t="n"/>
      <c r="G237" s="120" t="n"/>
      <c r="H237" s="120" t="n"/>
      <c r="I237" s="69" t="n"/>
      <c r="J237" s="103" t="n"/>
      <c r="K237" s="122" t="n"/>
      <c r="L237" s="123" t="n"/>
      <c r="M237" s="124" t="n"/>
      <c r="N237" s="82" t="n"/>
      <c r="O237" s="73" t="n"/>
      <c r="Q237" s="51" t="n"/>
      <c r="R237" s="22" t="n"/>
      <c r="S237" s="45" t="n"/>
      <c r="T237" s="47" t="n"/>
      <c r="U237" s="69" t="n"/>
      <c r="V237" s="77" t="n"/>
      <c r="W237" s="77" t="n"/>
      <c r="X237" s="77" t="n"/>
      <c r="Y237" s="77" t="n"/>
    </row>
    <row r="238" ht="13.5" customHeight="1">
      <c r="A238" s="56" t="n"/>
      <c r="B238" s="116" t="n"/>
      <c r="C238" s="117" t="n"/>
      <c r="D238" s="118" t="n"/>
      <c r="E238" s="103" t="n"/>
      <c r="F238" s="119" t="n"/>
      <c r="G238" s="120" t="n"/>
      <c r="H238" s="120" t="n"/>
      <c r="I238" s="69" t="n"/>
      <c r="J238" s="103" t="n"/>
      <c r="K238" s="122" t="n"/>
      <c r="L238" s="123" t="n"/>
      <c r="M238" s="124" t="n"/>
      <c r="N238" s="82" t="n"/>
      <c r="O238" s="73" t="n"/>
      <c r="Q238" s="51" t="n"/>
      <c r="R238" s="22" t="n"/>
      <c r="S238" s="45" t="n"/>
      <c r="T238" s="47" t="n"/>
      <c r="U238" s="69" t="n"/>
      <c r="V238" s="77" t="n"/>
      <c r="W238" s="77" t="n"/>
      <c r="X238" s="77" t="n"/>
      <c r="Y238" s="77" t="n"/>
    </row>
    <row r="239" ht="13.5" customHeight="1">
      <c r="A239" s="56" t="n"/>
      <c r="B239" s="116" t="n"/>
      <c r="C239" s="117" t="n"/>
      <c r="D239" s="118" t="n"/>
      <c r="E239" s="103" t="n"/>
      <c r="F239" s="119" t="n"/>
      <c r="G239" s="120" t="n"/>
      <c r="H239" s="120" t="n"/>
      <c r="I239" s="69" t="n"/>
      <c r="J239" s="103" t="n"/>
      <c r="K239" s="122" t="n"/>
      <c r="L239" s="123" t="n"/>
      <c r="M239" s="124" t="n"/>
      <c r="N239" s="82" t="n"/>
      <c r="O239" s="73" t="n"/>
      <c r="Q239" s="51" t="n"/>
      <c r="R239" s="22" t="n"/>
      <c r="S239" s="45" t="n"/>
      <c r="T239" s="47" t="n"/>
      <c r="U239" s="69" t="n"/>
      <c r="V239" s="77" t="n"/>
      <c r="W239" s="77" t="n"/>
      <c r="X239" s="77" t="n"/>
      <c r="Y239" s="77" t="n"/>
    </row>
    <row r="240" ht="13.5" customHeight="1">
      <c r="A240" s="56" t="n"/>
      <c r="B240" s="116" t="n"/>
      <c r="C240" s="117" t="n"/>
      <c r="D240" s="118" t="n"/>
      <c r="E240" s="103" t="n"/>
      <c r="F240" s="119" t="n"/>
      <c r="G240" s="120" t="n"/>
      <c r="H240" s="120" t="n"/>
      <c r="I240" s="69" t="n"/>
      <c r="J240" s="103" t="n"/>
      <c r="K240" s="122" t="n"/>
      <c r="L240" s="123" t="n"/>
      <c r="M240" s="124" t="n"/>
      <c r="N240" s="82" t="n"/>
      <c r="O240" s="73" t="n"/>
      <c r="Q240" s="51" t="n"/>
      <c r="R240" s="22" t="n"/>
      <c r="S240" s="45" t="n"/>
      <c r="T240" s="47" t="n"/>
      <c r="U240" s="69" t="n"/>
      <c r="V240" s="77" t="n"/>
      <c r="W240" s="77" t="n"/>
      <c r="X240" s="77" t="n"/>
      <c r="Y240" s="77" t="n"/>
    </row>
    <row r="241" ht="13.5" customHeight="1">
      <c r="A241" s="56" t="n"/>
      <c r="B241" s="116" t="n"/>
      <c r="C241" s="117" t="n"/>
      <c r="D241" s="118" t="n"/>
      <c r="E241" s="103" t="n"/>
      <c r="F241" s="119" t="n"/>
      <c r="G241" s="120" t="n"/>
      <c r="H241" s="120" t="n"/>
      <c r="I241" s="69" t="n"/>
      <c r="J241" s="103" t="n"/>
      <c r="K241" s="122" t="n"/>
      <c r="L241" s="123" t="n"/>
      <c r="M241" s="124" t="n"/>
      <c r="N241" s="82" t="n"/>
      <c r="O241" s="73" t="n"/>
      <c r="Q241" s="51" t="n"/>
      <c r="R241" s="22" t="n"/>
      <c r="S241" s="45" t="n"/>
      <c r="T241" s="47" t="n"/>
      <c r="U241" s="69" t="n"/>
      <c r="V241" s="77" t="n"/>
      <c r="W241" s="77" t="n"/>
      <c r="X241" s="77" t="n"/>
      <c r="Y241" s="77" t="n"/>
    </row>
    <row r="242" ht="15.75" customHeight="1">
      <c r="A242" s="56" t="n"/>
      <c r="B242" s="116" t="n"/>
      <c r="C242" s="117" t="n"/>
      <c r="D242" s="118" t="n"/>
      <c r="E242" s="103" t="n"/>
      <c r="F242" s="119" t="n"/>
      <c r="G242" s="120" t="n"/>
      <c r="H242" s="120" t="n"/>
      <c r="I242" s="69" t="n"/>
      <c r="J242" s="103" t="n"/>
      <c r="K242" s="122" t="n"/>
      <c r="L242" s="123" t="n"/>
      <c r="M242" s="124" t="n"/>
      <c r="N242" s="82" t="n"/>
      <c r="O242" s="73" t="n"/>
      <c r="Q242" s="51" t="n"/>
      <c r="R242" s="22" t="n"/>
      <c r="S242" s="45" t="n"/>
      <c r="T242" s="47" t="n"/>
      <c r="U242" s="69" t="n"/>
      <c r="V242" s="77" t="n"/>
      <c r="W242" s="77" t="n"/>
      <c r="X242" s="77" t="n"/>
      <c r="Y242" s="77" t="n"/>
    </row>
    <row r="243" ht="15.75" customHeight="1">
      <c r="A243" s="56" t="n"/>
      <c r="B243" s="116" t="n"/>
      <c r="C243" s="117" t="n"/>
      <c r="D243" s="118" t="n"/>
      <c r="E243" s="103" t="n"/>
      <c r="F243" s="119" t="n"/>
      <c r="G243" s="120" t="n"/>
      <c r="H243" s="120" t="n"/>
      <c r="I243" s="69" t="n"/>
      <c r="J243" s="103" t="n"/>
      <c r="K243" s="122" t="n"/>
      <c r="L243" s="123" t="n"/>
      <c r="M243" s="124" t="n"/>
      <c r="N243" s="82" t="n"/>
      <c r="O243" s="73" t="n"/>
      <c r="Q243" s="51" t="n"/>
      <c r="R243" s="22" t="n"/>
      <c r="S243" s="45" t="n"/>
      <c r="T243" s="47" t="n"/>
      <c r="U243" s="69" t="n"/>
      <c r="V243" s="77" t="n"/>
      <c r="W243" s="77" t="n"/>
      <c r="X243" s="77" t="n"/>
      <c r="Y243" s="77" t="n"/>
    </row>
    <row r="244" ht="15.75" customHeight="1">
      <c r="A244" s="56" t="n"/>
      <c r="B244" s="116" t="n"/>
      <c r="C244" s="117" t="n"/>
      <c r="D244" s="118" t="n"/>
      <c r="E244" s="103" t="n"/>
      <c r="F244" s="119" t="n"/>
      <c r="G244" s="120" t="n"/>
      <c r="H244" s="120" t="n"/>
      <c r="I244" s="69" t="n"/>
      <c r="J244" s="103" t="n"/>
      <c r="K244" s="122" t="n"/>
      <c r="L244" s="123" t="n"/>
      <c r="M244" s="124" t="n"/>
      <c r="N244" s="82" t="n"/>
      <c r="O244" s="73" t="n"/>
      <c r="Q244" s="51" t="n"/>
      <c r="R244" s="22" t="n"/>
      <c r="S244" s="45" t="n"/>
      <c r="T244" s="47" t="n"/>
      <c r="U244" s="69" t="n"/>
      <c r="V244" s="77" t="n"/>
      <c r="W244" s="77" t="n"/>
      <c r="X244" s="77" t="n"/>
      <c r="Y244" s="77" t="n"/>
    </row>
    <row r="245" ht="15.75" customHeight="1">
      <c r="A245" s="56" t="n"/>
      <c r="B245" s="116" t="n"/>
      <c r="C245" s="117" t="n"/>
      <c r="D245" s="118" t="n"/>
      <c r="E245" s="103" t="n"/>
      <c r="F245" s="119" t="n"/>
      <c r="G245" s="120" t="n"/>
      <c r="H245" s="120" t="n"/>
      <c r="I245" s="69" t="n"/>
      <c r="J245" s="103" t="n"/>
      <c r="K245" s="122" t="n"/>
      <c r="L245" s="123" t="n"/>
      <c r="M245" s="124" t="n"/>
      <c r="N245" s="82" t="n"/>
      <c r="O245" s="73" t="n"/>
      <c r="Q245" s="51" t="n"/>
      <c r="R245" s="22" t="n"/>
      <c r="S245" s="45" t="n"/>
      <c r="T245" s="47" t="n"/>
      <c r="U245" s="69" t="n"/>
      <c r="V245" s="77" t="n"/>
      <c r="W245" s="77" t="n"/>
      <c r="X245" s="77" t="n"/>
      <c r="Y245" s="77" t="n"/>
    </row>
    <row r="246" ht="15.75" customHeight="1">
      <c r="A246" s="56" t="n"/>
      <c r="B246" s="116" t="n"/>
      <c r="C246" s="117" t="n"/>
      <c r="D246" s="118" t="n"/>
      <c r="E246" s="103" t="n"/>
      <c r="F246" s="119" t="n"/>
      <c r="G246" s="120" t="n"/>
      <c r="H246" s="120" t="n"/>
      <c r="I246" s="69" t="n"/>
      <c r="J246" s="103" t="n"/>
      <c r="K246" s="122" t="n"/>
      <c r="L246" s="123" t="n"/>
      <c r="M246" s="124" t="n"/>
      <c r="N246" s="82" t="n"/>
      <c r="O246" s="73" t="n"/>
      <c r="Q246" s="51" t="n"/>
      <c r="R246" s="22" t="n"/>
      <c r="S246" s="45" t="n"/>
      <c r="T246" s="47" t="n"/>
      <c r="U246" s="69" t="n"/>
      <c r="V246" s="77" t="n"/>
      <c r="W246" s="77" t="n"/>
      <c r="X246" s="77" t="n"/>
      <c r="Y246" s="77" t="n"/>
    </row>
    <row r="247" ht="15.75" customHeight="1">
      <c r="A247" s="56" t="n"/>
      <c r="B247" s="116" t="n"/>
      <c r="C247" s="117" t="n"/>
      <c r="D247" s="118" t="n"/>
      <c r="E247" s="103" t="n"/>
      <c r="F247" s="119" t="n"/>
      <c r="G247" s="120" t="n"/>
      <c r="H247" s="120" t="n"/>
      <c r="I247" s="69" t="n"/>
      <c r="J247" s="103" t="n"/>
      <c r="K247" s="122" t="n"/>
      <c r="L247" s="123" t="n"/>
      <c r="M247" s="124" t="n"/>
      <c r="N247" s="82" t="n"/>
      <c r="O247" s="73" t="n"/>
      <c r="Q247" s="51" t="n"/>
      <c r="R247" s="22" t="n"/>
      <c r="S247" s="45" t="n"/>
      <c r="T247" s="47" t="n"/>
      <c r="U247" s="69" t="n"/>
      <c r="V247" s="77" t="n"/>
      <c r="W247" s="77" t="n"/>
      <c r="X247" s="77" t="n"/>
      <c r="Y247" s="77" t="n"/>
    </row>
    <row r="248" ht="15.75" customHeight="1">
      <c r="A248" s="56" t="n"/>
      <c r="B248" s="116" t="n"/>
      <c r="C248" s="117" t="n"/>
      <c r="D248" s="118" t="n"/>
      <c r="E248" s="103" t="n"/>
      <c r="F248" s="119" t="n"/>
      <c r="G248" s="120" t="n"/>
      <c r="H248" s="120" t="n"/>
      <c r="I248" s="69" t="n"/>
      <c r="J248" s="103" t="n"/>
      <c r="K248" s="122" t="n"/>
      <c r="L248" s="123" t="n"/>
      <c r="M248" s="124" t="n"/>
      <c r="N248" s="82" t="n"/>
      <c r="O248" s="73" t="n"/>
      <c r="Q248" s="51" t="n"/>
      <c r="R248" s="22" t="n"/>
      <c r="S248" s="45" t="n"/>
      <c r="T248" s="47" t="n"/>
      <c r="U248" s="69" t="n"/>
      <c r="V248" s="77" t="n"/>
      <c r="W248" s="77" t="n"/>
      <c r="X248" s="77" t="n"/>
      <c r="Y248" s="77" t="n"/>
    </row>
    <row r="249" ht="15.75" customHeight="1">
      <c r="A249" s="56" t="n">
        <v>180</v>
      </c>
      <c r="B249" s="116" t="n"/>
      <c r="C249" s="117" t="n"/>
      <c r="D249" s="118" t="n"/>
      <c r="E249" s="103" t="n"/>
      <c r="F249" s="119" t="n"/>
      <c r="G249" s="120" t="n"/>
      <c r="H249" s="120" t="n"/>
      <c r="I249" s="69" t="n"/>
      <c r="J249" s="103" t="n"/>
      <c r="K249" s="122" t="n"/>
      <c r="L249" s="78" t="n"/>
      <c r="M249" s="124" t="n"/>
      <c r="N249" s="83" t="n"/>
      <c r="O249" s="73" t="n"/>
      <c r="Q249" s="51" t="n"/>
      <c r="R249" s="22" t="n"/>
      <c r="S249" s="45" t="n"/>
      <c r="T249" s="47" t="n"/>
      <c r="U249" s="69" t="n"/>
      <c r="V249" s="77" t="n"/>
      <c r="W249" s="77" t="n"/>
      <c r="X249" s="77" t="n"/>
      <c r="Y249" s="77" t="n"/>
    </row>
    <row r="250" ht="18.75" customHeight="1">
      <c r="A250" s="36" t="n"/>
      <c r="B250" s="27" t="n"/>
      <c r="C250" s="54" t="n"/>
      <c r="D250" s="29" t="n"/>
      <c r="E250" s="55">
        <f>+SUM(E7:E185)</f>
        <v/>
      </c>
      <c r="F250" s="30" t="n"/>
      <c r="G250" s="31" t="n"/>
      <c r="H250" s="32">
        <f>SUM(H7:H249)</f>
        <v/>
      </c>
      <c r="I250" s="32">
        <f>SUM(I7:I249)</f>
        <v/>
      </c>
      <c r="J250" s="32">
        <f>SUM(J7:J249)</f>
        <v/>
      </c>
      <c r="K250" s="32">
        <f>SUM(K7:K249)</f>
        <v/>
      </c>
      <c r="L250" s="33" t="n"/>
      <c r="M250" s="33" t="n"/>
      <c r="N250" s="16" t="n"/>
      <c r="O250" s="17" t="n"/>
      <c r="P250" s="13" t="inlineStr">
        <is>
          <t>TOTAL TMB.</t>
        </is>
      </c>
      <c r="Q250" s="13" t="n"/>
      <c r="R250" s="13" t="n"/>
      <c r="S250" s="42">
        <f>SUM(S7:S185)</f>
        <v/>
      </c>
      <c r="T250" s="42">
        <f>SUM(T7:T185)</f>
        <v/>
      </c>
      <c r="U250" s="42">
        <f>SUM(U7:U185)</f>
        <v/>
      </c>
      <c r="V250" s="42">
        <f>SUM(V7:V185)</f>
        <v/>
      </c>
      <c r="W250" s="42">
        <f>SUM(W7:W185)</f>
        <v/>
      </c>
      <c r="X250" s="42">
        <f>SUM(X7:X185)</f>
        <v/>
      </c>
      <c r="Y250" s="42">
        <f>SUM(Y7:Y185)</f>
        <v/>
      </c>
    </row>
    <row r="251">
      <c r="A251" s="18" t="n"/>
      <c r="B251" s="1" t="n"/>
      <c r="C251" s="1" t="n"/>
      <c r="D251" s="19" t="inlineStr">
        <is>
          <t>CHILCOBIJA</t>
        </is>
      </c>
      <c r="E251" s="1" t="inlineStr">
        <is>
          <t>LIPEÑA</t>
        </is>
      </c>
      <c r="F251" s="1" t="n"/>
      <c r="G251" s="1" t="n"/>
      <c r="H251" s="20" t="inlineStr">
        <is>
          <t>Nivel 40</t>
        </is>
      </c>
      <c r="I251" s="21" t="inlineStr">
        <is>
          <t>Nivel 0</t>
        </is>
      </c>
      <c r="J251" s="21" t="inlineStr">
        <is>
          <t>Nivel 80</t>
        </is>
      </c>
      <c r="K251" s="21" t="inlineStr">
        <is>
          <t>La Moza</t>
        </is>
      </c>
      <c r="L251" s="34" t="n"/>
      <c r="M251" s="34" t="n"/>
      <c r="N251" s="22" t="n"/>
      <c r="O251" s="1" t="n"/>
      <c r="P251" s="110" t="n"/>
      <c r="Q251" s="128" t="n"/>
      <c r="R251" s="128" t="n"/>
      <c r="S251" s="128" t="n"/>
      <c r="T251" s="128" t="n"/>
      <c r="U251" s="128" t="n"/>
      <c r="V251" s="128" t="n"/>
      <c r="W251" s="128" t="n"/>
      <c r="X251" s="128" t="n"/>
      <c r="Y251" s="128" t="n"/>
      <c r="AB251">
        <f>987.563-962.34</f>
        <v/>
      </c>
    </row>
    <row r="252" ht="15.75" customHeight="1">
      <c r="A252" s="1" t="n"/>
      <c r="B252" s="1" t="n"/>
      <c r="C252" s="1" t="n"/>
      <c r="D252" s="1" t="n"/>
      <c r="E252" s="23" t="n"/>
      <c r="F252" s="24" t="n">
        <v>668.4829999999999</v>
      </c>
      <c r="G252" s="1" t="n"/>
      <c r="H252" s="25" t="inlineStr">
        <is>
          <t>TOTAL TMB</t>
        </is>
      </c>
      <c r="I252" s="26">
        <f>SUM(H250:K250)</f>
        <v/>
      </c>
      <c r="J252" s="25" t="n"/>
      <c r="K252" s="25" t="n"/>
      <c r="L252" s="35" t="n"/>
      <c r="M252" s="35" t="n"/>
      <c r="O252" s="111" t="inlineStr">
        <is>
          <t>TOTAL TMB. EMPRESA</t>
        </is>
      </c>
      <c r="P252" s="129" t="n"/>
      <c r="Q252" s="111" t="n"/>
      <c r="R252" s="111" t="n"/>
      <c r="S252" s="112">
        <f>S250+T250</f>
        <v/>
      </c>
      <c r="T252" s="130" t="n"/>
      <c r="U252" s="115">
        <f>U250+V250+W250+X250+Y250</f>
        <v/>
      </c>
      <c r="V252" s="128" t="n"/>
      <c r="W252" s="128" t="n"/>
      <c r="X252" s="128" t="n"/>
      <c r="Y252" s="130" t="n"/>
    </row>
    <row r="253">
      <c r="F253" s="22">
        <f>+F252-E250</f>
        <v/>
      </c>
      <c r="O253" s="111" t="inlineStr">
        <is>
          <t>PUNTUALIDAD</t>
        </is>
      </c>
      <c r="P253" s="129" t="n"/>
      <c r="Q253" s="111" t="n"/>
      <c r="R253" s="111" t="n"/>
      <c r="S253" s="131" t="n"/>
      <c r="T253" s="132" t="n"/>
      <c r="U253" s="131" t="n"/>
      <c r="V253" s="126" t="n"/>
      <c r="W253" s="126" t="n"/>
      <c r="X253" s="126" t="n"/>
      <c r="Y253" s="132" t="n"/>
    </row>
    <row r="254">
      <c r="B254" s="49" t="n"/>
      <c r="C254" s="54" t="n"/>
    </row>
    <row r="255">
      <c r="C255" s="54" t="n"/>
      <c r="Y255" s="22" t="n"/>
    </row>
    <row r="256">
      <c r="C256" s="54" t="n"/>
      <c r="J256">
        <f>2177.11-2121.865</f>
        <v/>
      </c>
    </row>
    <row r="257">
      <c r="C257" s="54" t="n"/>
    </row>
    <row r="258">
      <c r="C258" s="54" t="n"/>
    </row>
    <row r="259">
      <c r="C259" s="54" t="n"/>
    </row>
    <row r="260">
      <c r="C260" s="54" t="n"/>
    </row>
    <row r="261">
      <c r="C261" s="54" t="n"/>
    </row>
    <row r="262">
      <c r="C262" s="54" t="n"/>
    </row>
    <row r="263">
      <c r="C263" s="54" t="n"/>
    </row>
    <row r="264">
      <c r="C264" s="54" t="n"/>
    </row>
    <row r="265">
      <c r="C265" s="54" t="n"/>
    </row>
    <row r="266">
      <c r="C266" s="54" t="n"/>
    </row>
    <row r="267">
      <c r="C267" s="54" t="n"/>
    </row>
    <row r="268">
      <c r="C268" s="54" t="n"/>
    </row>
    <row r="269">
      <c r="C269" s="54" t="n"/>
    </row>
    <row r="270">
      <c r="C270" s="54" t="n"/>
    </row>
    <row r="271">
      <c r="C271" s="54" t="n"/>
    </row>
    <row r="272">
      <c r="C272" s="54" t="n"/>
    </row>
    <row r="273">
      <c r="C273" s="54" t="n"/>
    </row>
  </sheetData>
  <mergeCells count="8">
    <mergeCell ref="O252:P252"/>
    <mergeCell ref="S252:T253"/>
    <mergeCell ref="O253:P253"/>
    <mergeCell ref="P251:Y251"/>
    <mergeCell ref="S5:T5"/>
    <mergeCell ref="U4:Y5"/>
    <mergeCell ref="U252:Y253"/>
    <mergeCell ref="S4:T4"/>
  </mergeCells>
  <pageMargins left="0.25" right="0.25" top="0.75" bottom="0.75" header="0.3" footer="0.3"/>
  <pageSetup orientation="portrait" scale="80" horizontalDpi="4294967293" verticalDpi="0"/>
  <colBreaks count="1" manualBreakCount="1">
    <brk id="18" min="0" max="19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2026-02-11T21:39:46Z</dcterms:created>
  <dcterms:modified xmlns:dcterms="http://purl.org/dc/terms/" xmlns:xsi="http://www.w3.org/2001/XMLSchema-instance" xsi:type="dcterms:W3CDTF">2026-10-14T02:31:02Z</dcterms:modified>
  <cp:lastModifiedBy>USER</cp:lastModifiedBy>
  <cp:lastPrinted>2026-10-12T13:54:08Z</cp:lastPrinted>
</cp:coreProperties>
</file>